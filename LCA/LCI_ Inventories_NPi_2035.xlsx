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elkerm\cursor\PAW_MFA_LCA_2025\LCA\"/>
    </mc:Choice>
  </mc:AlternateContent>
  <xr:revisionPtr revIDLastSave="0" documentId="13_ncr:1_{5392FFF9-15C9-4A57-B571-AFF3C4C88933}" xr6:coauthVersionLast="36" xr6:coauthVersionMax="47" xr10:uidLastSave="{00000000-0000-0000-0000-000000000000}"/>
  <bookViews>
    <workbookView xWindow="-105" yWindow="-105" windowWidth="23250" windowHeight="13890" activeTab="1" xr2:uid="{EF6BAC2F-8532-4D6B-ADAB-847A45F05723}"/>
  </bookViews>
  <sheets>
    <sheet name="Directo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6" i="1" l="1"/>
  <c r="E244" i="1"/>
  <c r="A168" i="1" l="1"/>
  <c r="I168" i="1" l="1"/>
  <c r="B168" i="1"/>
  <c r="G152" i="1"/>
  <c r="I256" i="1" l="1"/>
  <c r="B256" i="1"/>
  <c r="I244" i="1"/>
  <c r="B244" i="1"/>
  <c r="B151" i="1" l="1"/>
  <c r="I152" i="1"/>
  <c r="H152" i="1"/>
  <c r="D152" i="1"/>
  <c r="B152" i="1"/>
  <c r="I150" i="1"/>
  <c r="I151" i="1"/>
  <c r="G151" i="1"/>
  <c r="D151" i="1"/>
  <c r="G150" i="1"/>
  <c r="E150" i="1"/>
  <c r="E151" i="1" s="1"/>
  <c r="E152" i="1" s="1"/>
  <c r="D150" i="1"/>
  <c r="B150" i="1"/>
  <c r="A150" i="1"/>
  <c r="I105" i="1"/>
  <c r="G105" i="1"/>
  <c r="D105" i="1"/>
  <c r="B105" i="1"/>
  <c r="G104" i="1"/>
  <c r="I104" i="1"/>
  <c r="D104" i="1"/>
  <c r="B104" i="1"/>
  <c r="I103" i="1"/>
  <c r="G103" i="1"/>
  <c r="D103" i="1"/>
  <c r="B103" i="1"/>
  <c r="I102" i="1"/>
  <c r="G102" i="1"/>
  <c r="D102" i="1"/>
  <c r="B102" i="1"/>
  <c r="I101" i="1" l="1"/>
  <c r="G101" i="1"/>
  <c r="E101" i="1"/>
  <c r="E102" i="1" s="1"/>
  <c r="E103" i="1" s="1"/>
  <c r="E104" i="1" s="1"/>
  <c r="E105" i="1" s="1"/>
  <c r="D101" i="1"/>
  <c r="B101" i="1"/>
  <c r="A101" i="1"/>
  <c r="D231" i="1"/>
  <c r="D232" i="1"/>
  <c r="E18" i="1"/>
  <c r="E34" i="1"/>
  <c r="E51" i="1"/>
  <c r="E84" i="1"/>
  <c r="E120" i="1"/>
  <c r="E136" i="1"/>
  <c r="E168" i="1"/>
  <c r="E202" i="1"/>
  <c r="E231" i="1"/>
  <c r="E219" i="1"/>
  <c r="G232" i="1"/>
  <c r="D220" i="1"/>
  <c r="I231" i="1"/>
  <c r="G231" i="1"/>
  <c r="B231" i="1"/>
  <c r="A231" i="1"/>
  <c r="D219" i="1"/>
  <c r="B219" i="1"/>
  <c r="G220" i="1"/>
  <c r="I219" i="1" l="1"/>
  <c r="G219" i="1"/>
  <c r="A219" i="1"/>
  <c r="I203" i="1"/>
  <c r="I202" i="1"/>
  <c r="G203" i="1"/>
  <c r="G202" i="1"/>
  <c r="D203" i="1"/>
  <c r="I186" i="1"/>
  <c r="D202" i="1"/>
  <c r="B202" i="1"/>
  <c r="A202" i="1"/>
  <c r="G187" i="1"/>
  <c r="G186" i="1"/>
  <c r="E186" i="1"/>
  <c r="D186" i="1"/>
  <c r="D187" i="1" s="1"/>
  <c r="B186" i="1"/>
  <c r="A186" i="1"/>
</calcChain>
</file>

<file path=xl/sharedStrings.xml><?xml version="1.0" encoding="utf-8"?>
<sst xmlns="http://schemas.openxmlformats.org/spreadsheetml/2006/main" count="1162" uniqueCount="165">
  <si>
    <t>Database</t>
  </si>
  <si>
    <t>format</t>
  </si>
  <si>
    <t>Excel spreadsheet</t>
  </si>
  <si>
    <t>cutoff</t>
  </si>
  <si>
    <t>YangLi2019-GAC</t>
  </si>
  <si>
    <t>Arzate2019-OZ</t>
  </si>
  <si>
    <t>Pesqueira2021-TiO2-P25/H2O2</t>
  </si>
  <si>
    <t>skip</t>
  </si>
  <si>
    <t>Activity</t>
  </si>
  <si>
    <t>code</t>
  </si>
  <si>
    <t>paper</t>
  </si>
  <si>
    <t>case_id</t>
  </si>
  <si>
    <t>lcs</t>
  </si>
  <si>
    <t>Operation</t>
  </si>
  <si>
    <t>case_study</t>
  </si>
  <si>
    <t>location</t>
  </si>
  <si>
    <t>RER</t>
  </si>
  <si>
    <t>amount</t>
  </si>
  <si>
    <t>type</t>
  </si>
  <si>
    <t>process</t>
  </si>
  <si>
    <t>unit</t>
  </si>
  <si>
    <t>cubic meter</t>
  </si>
  <si>
    <t>reference product</t>
  </si>
  <si>
    <t>electricity per m3</t>
  </si>
  <si>
    <t>Exchanges</t>
  </si>
  <si>
    <t>name</t>
  </si>
  <si>
    <t>database</t>
  </si>
  <si>
    <t>categories</t>
  </si>
  <si>
    <t>uncertainty type</t>
  </si>
  <si>
    <t>loc</t>
  </si>
  <si>
    <t>scale</t>
  </si>
  <si>
    <t>shape</t>
  </si>
  <si>
    <t>minimum</t>
  </si>
  <si>
    <t>maximum</t>
  </si>
  <si>
    <t>None</t>
  </si>
  <si>
    <t>production</t>
  </si>
  <si>
    <t>(Unknown)</t>
  </si>
  <si>
    <t>Electricity 230</t>
  </si>
  <si>
    <t>230_elec</t>
  </si>
  <si>
    <t>YangLi2019</t>
  </si>
  <si>
    <t>kilowatt hours</t>
  </si>
  <si>
    <t>none</t>
  </si>
  <si>
    <t>technosphere</t>
  </si>
  <si>
    <t>electricity, medium voltage</t>
  </si>
  <si>
    <t>GAC 230</t>
  </si>
  <si>
    <t>230_gac</t>
  </si>
  <si>
    <t>GAC per m3</t>
  </si>
  <si>
    <t>treatment of spent activated carbon, granular from hard coal, reactivation</t>
  </si>
  <si>
    <t>kilogram</t>
  </si>
  <si>
    <t>activated carbon, granular</t>
  </si>
  <si>
    <t>market for activated carbon, granular</t>
  </si>
  <si>
    <t>GLO</t>
  </si>
  <si>
    <t>Chemicals 230</t>
  </si>
  <si>
    <t>230_chem</t>
  </si>
  <si>
    <t>chemicals per m3</t>
  </si>
  <si>
    <t>market for sodium sulfate, anhydrite</t>
  </si>
  <si>
    <t>sodium sulfate, anhydrite</t>
  </si>
  <si>
    <t>market for sodium nitrate</t>
  </si>
  <si>
    <t>sodium nitrate</t>
  </si>
  <si>
    <t>market for sodium hydroxide, without water, in 50% solution state</t>
  </si>
  <si>
    <t>sodium hydroxide, without water, in 50% solution state</t>
  </si>
  <si>
    <t>market for hydrogen peroxide, without water, in 50% solution state</t>
  </si>
  <si>
    <t>hydrogen peroxide, without water, in 50% solution state</t>
  </si>
  <si>
    <t>market for iron sulfate</t>
  </si>
  <si>
    <t>iron sulfate</t>
  </si>
  <si>
    <t>market for sulfuric acid</t>
  </si>
  <si>
    <t>sulfuric acid</t>
  </si>
  <si>
    <t>market for calcium carbonate, precipitated</t>
  </si>
  <si>
    <t>calcium carbonate, precipitated</t>
  </si>
  <si>
    <t>market for oxygen, liquid</t>
  </si>
  <si>
    <t>oxygen, liquid</t>
  </si>
  <si>
    <t>market for EDTA, ethylenediaminetetraacetic acid</t>
  </si>
  <si>
    <t>EDTA, ethylenediaminetetraacetic acid</t>
  </si>
  <si>
    <t/>
  </si>
  <si>
    <t>biosphere</t>
  </si>
  <si>
    <t>market for ozone, liquid</t>
  </si>
  <si>
    <t>ozone, liquid</t>
  </si>
  <si>
    <t>market for hydrochloric acid, without water, in 30% solution state</t>
  </si>
  <si>
    <t>hydrochloric acid, without water, in 30% solution state</t>
  </si>
  <si>
    <t>market for sand</t>
  </si>
  <si>
    <t>RoW</t>
  </si>
  <si>
    <t>sand</t>
  </si>
  <si>
    <t>market for chlorine, liquid</t>
  </si>
  <si>
    <t>chlorine, liquid</t>
  </si>
  <si>
    <t>market for aluminium chloride</t>
  </si>
  <si>
    <t>aluminium chloride</t>
  </si>
  <si>
    <t>market for iron(II) chloride</t>
  </si>
  <si>
    <t>iron(II) chloride</t>
  </si>
  <si>
    <t>market for polyacrylamide</t>
  </si>
  <si>
    <t>polyacrylamide</t>
  </si>
  <si>
    <t>market for sodium chlorate, powder</t>
  </si>
  <si>
    <t>sodium chlorate, powder</t>
  </si>
  <si>
    <t>direct emissions per m3</t>
  </si>
  <si>
    <t>Carbon dioxide, fossil</t>
  </si>
  <si>
    <t>treatment of municipal solid waste, municipal incineration</t>
  </si>
  <si>
    <t>treatment of wastewater, average, wastewater treatment</t>
  </si>
  <si>
    <t>market for inert waste</t>
  </si>
  <si>
    <t>Emissions 230</t>
  </si>
  <si>
    <t>230_em</t>
  </si>
  <si>
    <t>air</t>
  </si>
  <si>
    <t>municipal solid waste</t>
  </si>
  <si>
    <t>Europe without Switzerland</t>
  </si>
  <si>
    <t>wastewater, average</t>
  </si>
  <si>
    <t>inert waste</t>
  </si>
  <si>
    <t>Electricity 102</t>
  </si>
  <si>
    <t>102_elec</t>
  </si>
  <si>
    <t>Arzate2019</t>
  </si>
  <si>
    <t>Chemicals 102</t>
  </si>
  <si>
    <t>102_chem</t>
  </si>
  <si>
    <t>Pesqueira2021</t>
  </si>
  <si>
    <t>market for titanium dioxide</t>
  </si>
  <si>
    <t>titanium dioxide</t>
  </si>
  <si>
    <t xml:space="preserve">sludge incineration </t>
  </si>
  <si>
    <t>sewage sludge, 70% water, WWT, WW, average</t>
  </si>
  <si>
    <t>treatment of sewage sludge, 70% water, WWT, WW, average, municipal incineration</t>
  </si>
  <si>
    <t>secondary treatment</t>
  </si>
  <si>
    <t>transport of sludge to incineration</t>
  </si>
  <si>
    <t>transport, freight, lorry, diesel, unspecified</t>
  </si>
  <si>
    <t>transport of fertilizer to soil</t>
  </si>
  <si>
    <t>market for transport, freight, lorry, unspecified</t>
  </si>
  <si>
    <t>ecoinvent-3.11-biosphere</t>
  </si>
  <si>
    <t>ton kilometer</t>
  </si>
  <si>
    <t>Activated Carbon Technology</t>
  </si>
  <si>
    <t>DE</t>
  </si>
  <si>
    <t>Advanced Oxidation Process</t>
  </si>
  <si>
    <t>Ozonation</t>
  </si>
  <si>
    <t>treated wastewater</t>
  </si>
  <si>
    <t>market for electricity, medium voltage</t>
  </si>
  <si>
    <t>code2</t>
  </si>
  <si>
    <t>BPA to soil</t>
  </si>
  <si>
    <t>sldg_sep_fer</t>
  </si>
  <si>
    <t>water</t>
  </si>
  <si>
    <t>Bisphenol A</t>
  </si>
  <si>
    <t>soil</t>
  </si>
  <si>
    <t>bpa to soil</t>
  </si>
  <si>
    <t>BPA to water</t>
  </si>
  <si>
    <t>bpa to water</t>
  </si>
  <si>
    <t>sec_tre =&gt; qua_tre__o3</t>
  </si>
  <si>
    <t>ind_ww =&gt; dec_tre__o3</t>
  </si>
  <si>
    <t>ind_ww =&gt; dec_tre__aop</t>
  </si>
  <si>
    <t>sec_tre =&gt; qua_tre__aop</t>
  </si>
  <si>
    <t>sec_tre =&gt; qua_tre__gac</t>
  </si>
  <si>
    <t>ind_ww =&gt; dec_tre__gac</t>
  </si>
  <si>
    <t>qua_tre =&gt; inc__nof</t>
  </si>
  <si>
    <t>qua_tre =&gt; inc__aop</t>
  </si>
  <si>
    <t>qua_tre =&gt; inc__o3</t>
  </si>
  <si>
    <t>qua_tre =&gt; inc__gac</t>
  </si>
  <si>
    <t>code3</t>
  </si>
  <si>
    <t>code4</t>
  </si>
  <si>
    <t>dec_tre =&gt; sec_tre__aop</t>
  </si>
  <si>
    <t>dec_tre =&gt; sec_tre__nof</t>
  </si>
  <si>
    <t>dec_tre =&gt; sec_tre__o3</t>
  </si>
  <si>
    <t>dec_tre =&gt; sec_tre__gac</t>
  </si>
  <si>
    <t>dom_ww =&gt; sec_tre</t>
  </si>
  <si>
    <t>code5</t>
  </si>
  <si>
    <t>sldg_sep =&gt; inc</t>
  </si>
  <si>
    <t>code6</t>
  </si>
  <si>
    <t>sldg_trans</t>
  </si>
  <si>
    <t>fer =&gt; soi</t>
  </si>
  <si>
    <t>sldg_sep =&gt; fer</t>
  </si>
  <si>
    <t>wtr_dis =&gt; riv__cec</t>
  </si>
  <si>
    <t>wtr_dis =&gt; irr__cec</t>
  </si>
  <si>
    <t>code1</t>
  </si>
  <si>
    <t>ei_cutoff_3.11_remind-eu_SSP2-NPi_2035 2025-11-12</t>
  </si>
  <si>
    <t>paw_NPi_2035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</si>
</sst>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9983-A3A6-47CE-AD3C-54DCDECAC870}">
  <dimension ref="A1:B6"/>
  <sheetViews>
    <sheetView workbookViewId="0">
      <selection activeCell="B6" sqref="B6"/>
    </sheetView>
  </sheetViews>
  <sheetFormatPr baseColWidth="10" defaultColWidth="8.875" defaultRowHeight="14.25"/>
  <sheetData>
    <row r="1" spans="1:2">
      <c r="A1" t="s">
        <v>7</v>
      </c>
    </row>
    <row r="4" spans="1:2" ht="15">
      <c r="A4" s="6">
        <v>230</v>
      </c>
      <c r="B4" t="s">
        <v>4</v>
      </c>
    </row>
    <row r="5" spans="1:2" ht="15">
      <c r="A5" s="8">
        <v>102</v>
      </c>
      <c r="B5" t="s">
        <v>5</v>
      </c>
    </row>
    <row r="6" spans="1:2" ht="15">
      <c r="A6" s="7">
        <v>128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D897-F590-4437-A121-ED2632AD5485}">
  <dimension ref="A1:O257"/>
  <sheetViews>
    <sheetView tabSelected="1" zoomScale="130" zoomScaleNormal="130" workbookViewId="0">
      <selection activeCell="E252" sqref="E252"/>
    </sheetView>
  </sheetViews>
  <sheetFormatPr baseColWidth="10" defaultColWidth="8.875" defaultRowHeight="14.25"/>
  <cols>
    <col min="1" max="1" width="26.125" customWidth="1"/>
    <col min="2" max="2" width="34" customWidth="1"/>
    <col min="8" max="8" width="15.125" customWidth="1"/>
    <col min="9" max="9" width="21.125" customWidth="1"/>
  </cols>
  <sheetData>
    <row r="1" spans="1:2">
      <c r="A1" t="s">
        <v>3</v>
      </c>
      <c r="B1" s="1">
        <v>11</v>
      </c>
    </row>
    <row r="2" spans="1:2" s="4" customFormat="1" ht="15">
      <c r="A2" s="2" t="s">
        <v>0</v>
      </c>
      <c r="B2" s="3" t="s">
        <v>164</v>
      </c>
    </row>
    <row r="3" spans="1:2">
      <c r="A3" s="5" t="s">
        <v>1</v>
      </c>
      <c r="B3" s="5" t="s">
        <v>2</v>
      </c>
    </row>
    <row r="5" spans="1:2">
      <c r="A5" s="4" t="s">
        <v>8</v>
      </c>
      <c r="B5" s="4" t="s">
        <v>37</v>
      </c>
    </row>
    <row r="6" spans="1:2">
      <c r="A6" t="s">
        <v>9</v>
      </c>
      <c r="B6" t="s">
        <v>38</v>
      </c>
    </row>
    <row r="7" spans="1:2">
      <c r="A7" t="s">
        <v>10</v>
      </c>
      <c r="B7" t="s">
        <v>39</v>
      </c>
    </row>
    <row r="8" spans="1:2">
      <c r="A8" t="s">
        <v>11</v>
      </c>
      <c r="B8">
        <v>230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4</v>
      </c>
    </row>
    <row r="11" spans="1:2">
      <c r="A11" t="s">
        <v>15</v>
      </c>
      <c r="B11" t="s">
        <v>16</v>
      </c>
    </row>
    <row r="12" spans="1:2">
      <c r="A12" t="s">
        <v>17</v>
      </c>
      <c r="B12">
        <v>1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</row>
    <row r="17" spans="1:15">
      <c r="A17" t="s">
        <v>9</v>
      </c>
      <c r="B17" t="s">
        <v>25</v>
      </c>
      <c r="C17" t="s">
        <v>17</v>
      </c>
      <c r="D17" t="s">
        <v>20</v>
      </c>
      <c r="E17" t="s">
        <v>26</v>
      </c>
      <c r="F17" t="s">
        <v>27</v>
      </c>
      <c r="G17" t="s">
        <v>15</v>
      </c>
      <c r="H17" t="s">
        <v>18</v>
      </c>
      <c r="I17" t="s">
        <v>22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</row>
    <row r="18" spans="1:15">
      <c r="A18" t="s">
        <v>38</v>
      </c>
      <c r="B18" t="s">
        <v>37</v>
      </c>
      <c r="C18">
        <v>1</v>
      </c>
      <c r="D18" t="s">
        <v>21</v>
      </c>
      <c r="E18" t="str">
        <f>$B$2</f>
        <v>paw_NPi_2035</v>
      </c>
      <c r="F18" t="s">
        <v>34</v>
      </c>
      <c r="G18" t="s">
        <v>16</v>
      </c>
      <c r="H18" t="s">
        <v>35</v>
      </c>
      <c r="I18" t="s">
        <v>23</v>
      </c>
      <c r="J18">
        <v>0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</row>
    <row r="19" spans="1:15">
      <c r="A19" t="s">
        <v>36</v>
      </c>
      <c r="B19" t="s">
        <v>127</v>
      </c>
      <c r="C19">
        <v>0.23100000000000001</v>
      </c>
      <c r="D19" t="s">
        <v>40</v>
      </c>
      <c r="E19" t="s">
        <v>163</v>
      </c>
      <c r="F19" t="s">
        <v>41</v>
      </c>
      <c r="G19" t="s">
        <v>123</v>
      </c>
      <c r="H19" t="s">
        <v>42</v>
      </c>
      <c r="I19" t="s">
        <v>43</v>
      </c>
      <c r="J19">
        <v>0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</row>
    <row r="21" spans="1:15">
      <c r="A21" s="4" t="s">
        <v>8</v>
      </c>
      <c r="B21" s="4" t="s">
        <v>44</v>
      </c>
    </row>
    <row r="22" spans="1:15">
      <c r="A22" t="s">
        <v>9</v>
      </c>
      <c r="B22" t="s">
        <v>45</v>
      </c>
    </row>
    <row r="23" spans="1:15">
      <c r="A23" t="s">
        <v>10</v>
      </c>
      <c r="B23" t="s">
        <v>39</v>
      </c>
    </row>
    <row r="24" spans="1:15">
      <c r="A24" t="s">
        <v>11</v>
      </c>
      <c r="B24">
        <v>230</v>
      </c>
    </row>
    <row r="25" spans="1:15">
      <c r="A25" t="s">
        <v>12</v>
      </c>
      <c r="B25" t="s">
        <v>13</v>
      </c>
    </row>
    <row r="26" spans="1:15">
      <c r="A26" t="s">
        <v>14</v>
      </c>
      <c r="B26" t="s">
        <v>4</v>
      </c>
    </row>
    <row r="27" spans="1:15">
      <c r="A27" t="s">
        <v>15</v>
      </c>
      <c r="B27" t="s">
        <v>16</v>
      </c>
    </row>
    <row r="28" spans="1:15">
      <c r="A28" t="s">
        <v>17</v>
      </c>
      <c r="B28">
        <v>1</v>
      </c>
    </row>
    <row r="29" spans="1:15">
      <c r="A29" t="s">
        <v>18</v>
      </c>
      <c r="B29" t="s">
        <v>19</v>
      </c>
    </row>
    <row r="30" spans="1:15">
      <c r="A30" t="s">
        <v>20</v>
      </c>
      <c r="B30" t="s">
        <v>21</v>
      </c>
    </row>
    <row r="31" spans="1:15">
      <c r="A31" t="s">
        <v>22</v>
      </c>
      <c r="B31" t="s">
        <v>46</v>
      </c>
    </row>
    <row r="32" spans="1:15">
      <c r="A32" t="s">
        <v>24</v>
      </c>
    </row>
    <row r="33" spans="1:15">
      <c r="A33" t="s">
        <v>9</v>
      </c>
      <c r="B33" t="s">
        <v>25</v>
      </c>
      <c r="C33" t="s">
        <v>17</v>
      </c>
      <c r="D33" t="s">
        <v>20</v>
      </c>
      <c r="E33" t="s">
        <v>26</v>
      </c>
      <c r="F33" t="s">
        <v>27</v>
      </c>
      <c r="G33" t="s">
        <v>15</v>
      </c>
      <c r="H33" t="s">
        <v>18</v>
      </c>
      <c r="I33" t="s">
        <v>22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33</v>
      </c>
    </row>
    <row r="34" spans="1:15">
      <c r="A34" t="s">
        <v>45</v>
      </c>
      <c r="B34" t="s">
        <v>44</v>
      </c>
      <c r="C34">
        <v>1</v>
      </c>
      <c r="D34" t="s">
        <v>21</v>
      </c>
      <c r="E34" t="str">
        <f>$B$2</f>
        <v>paw_NPi_2035</v>
      </c>
      <c r="F34" t="s">
        <v>34</v>
      </c>
      <c r="G34" t="s">
        <v>16</v>
      </c>
      <c r="H34" t="s">
        <v>35</v>
      </c>
      <c r="I34" t="s">
        <v>46</v>
      </c>
      <c r="J34">
        <v>0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</row>
    <row r="35" spans="1:15">
      <c r="A35" t="s">
        <v>36</v>
      </c>
      <c r="B35" t="s">
        <v>47</v>
      </c>
      <c r="C35">
        <v>0</v>
      </c>
      <c r="D35" t="s">
        <v>48</v>
      </c>
      <c r="E35" t="s">
        <v>163</v>
      </c>
      <c r="F35" t="s">
        <v>41</v>
      </c>
      <c r="G35" t="s">
        <v>16</v>
      </c>
      <c r="H35" t="s">
        <v>42</v>
      </c>
      <c r="I35" t="s">
        <v>49</v>
      </c>
      <c r="J35">
        <v>0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</row>
    <row r="36" spans="1:15">
      <c r="A36" t="s">
        <v>36</v>
      </c>
      <c r="B36" t="s">
        <v>50</v>
      </c>
      <c r="C36">
        <v>1.4999999999999999E-2</v>
      </c>
      <c r="D36" t="s">
        <v>48</v>
      </c>
      <c r="E36" t="s">
        <v>163</v>
      </c>
      <c r="F36" t="s">
        <v>41</v>
      </c>
      <c r="G36" t="s">
        <v>51</v>
      </c>
      <c r="H36" t="s">
        <v>42</v>
      </c>
      <c r="I36" t="s">
        <v>49</v>
      </c>
      <c r="J36">
        <v>0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</row>
    <row r="38" spans="1:15">
      <c r="A38" s="4" t="s">
        <v>8</v>
      </c>
      <c r="B38" s="4" t="s">
        <v>52</v>
      </c>
    </row>
    <row r="39" spans="1:15">
      <c r="A39" t="s">
        <v>9</v>
      </c>
      <c r="B39" t="s">
        <v>53</v>
      </c>
    </row>
    <row r="40" spans="1:15">
      <c r="A40" t="s">
        <v>10</v>
      </c>
      <c r="B40" t="s">
        <v>39</v>
      </c>
    </row>
    <row r="41" spans="1:15">
      <c r="A41" t="s">
        <v>11</v>
      </c>
      <c r="B41">
        <v>230</v>
      </c>
    </row>
    <row r="42" spans="1:15">
      <c r="A42" t="s">
        <v>12</v>
      </c>
      <c r="B42" t="s">
        <v>13</v>
      </c>
    </row>
    <row r="43" spans="1:15">
      <c r="A43" t="s">
        <v>14</v>
      </c>
      <c r="B43" t="s">
        <v>4</v>
      </c>
    </row>
    <row r="44" spans="1:15">
      <c r="A44" t="s">
        <v>15</v>
      </c>
      <c r="B44" t="s">
        <v>16</v>
      </c>
    </row>
    <row r="45" spans="1:15">
      <c r="A45" t="s">
        <v>17</v>
      </c>
      <c r="B45">
        <v>1</v>
      </c>
    </row>
    <row r="46" spans="1:15">
      <c r="A46" t="s">
        <v>18</v>
      </c>
      <c r="B46" t="s">
        <v>19</v>
      </c>
    </row>
    <row r="47" spans="1:15">
      <c r="A47" t="s">
        <v>20</v>
      </c>
      <c r="B47" t="s">
        <v>21</v>
      </c>
    </row>
    <row r="48" spans="1:15">
      <c r="A48" t="s">
        <v>22</v>
      </c>
      <c r="B48" t="s">
        <v>54</v>
      </c>
    </row>
    <row r="49" spans="1:15">
      <c r="A49" t="s">
        <v>24</v>
      </c>
    </row>
    <row r="50" spans="1:15">
      <c r="A50" t="s">
        <v>9</v>
      </c>
      <c r="B50" t="s">
        <v>25</v>
      </c>
      <c r="C50" t="s">
        <v>17</v>
      </c>
      <c r="D50" t="s">
        <v>20</v>
      </c>
      <c r="E50" t="s">
        <v>26</v>
      </c>
      <c r="F50" t="s">
        <v>27</v>
      </c>
      <c r="G50" t="s">
        <v>15</v>
      </c>
      <c r="H50" t="s">
        <v>18</v>
      </c>
      <c r="I50" t="s">
        <v>22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</v>
      </c>
    </row>
    <row r="51" spans="1:15">
      <c r="A51" t="s">
        <v>53</v>
      </c>
      <c r="B51" t="s">
        <v>52</v>
      </c>
      <c r="C51">
        <v>1</v>
      </c>
      <c r="D51" t="s">
        <v>21</v>
      </c>
      <c r="E51" t="str">
        <f>$B$2</f>
        <v>paw_NPi_2035</v>
      </c>
      <c r="F51" t="s">
        <v>34</v>
      </c>
      <c r="G51" t="s">
        <v>16</v>
      </c>
      <c r="H51" t="s">
        <v>35</v>
      </c>
      <c r="I51" t="s">
        <v>54</v>
      </c>
      <c r="J51">
        <v>0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</row>
    <row r="52" spans="1:15">
      <c r="A52" t="s">
        <v>36</v>
      </c>
      <c r="B52" t="s">
        <v>55</v>
      </c>
      <c r="C52">
        <v>0</v>
      </c>
      <c r="D52" t="s">
        <v>48</v>
      </c>
      <c r="E52" t="s">
        <v>163</v>
      </c>
      <c r="F52" t="s">
        <v>41</v>
      </c>
      <c r="G52" t="s">
        <v>16</v>
      </c>
      <c r="H52" t="s">
        <v>42</v>
      </c>
      <c r="I52" t="s">
        <v>56</v>
      </c>
      <c r="J52">
        <v>0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</row>
    <row r="53" spans="1:15">
      <c r="A53" t="s">
        <v>36</v>
      </c>
      <c r="B53" t="s">
        <v>57</v>
      </c>
      <c r="C53">
        <v>0</v>
      </c>
      <c r="D53" t="s">
        <v>48</v>
      </c>
      <c r="E53" t="s">
        <v>163</v>
      </c>
      <c r="F53" t="s">
        <v>41</v>
      </c>
      <c r="G53" t="s">
        <v>51</v>
      </c>
      <c r="H53" t="s">
        <v>42</v>
      </c>
      <c r="I53" t="s">
        <v>58</v>
      </c>
      <c r="J53">
        <v>0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</row>
    <row r="54" spans="1:15">
      <c r="A54" t="s">
        <v>36</v>
      </c>
      <c r="B54" t="s">
        <v>59</v>
      </c>
      <c r="C54">
        <v>0</v>
      </c>
      <c r="D54" t="s">
        <v>48</v>
      </c>
      <c r="E54" t="s">
        <v>163</v>
      </c>
      <c r="F54" t="s">
        <v>41</v>
      </c>
      <c r="G54" t="s">
        <v>16</v>
      </c>
      <c r="H54" t="s">
        <v>42</v>
      </c>
      <c r="I54" t="s">
        <v>60</v>
      </c>
      <c r="J54">
        <v>0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</row>
    <row r="55" spans="1:15">
      <c r="A55" t="s">
        <v>36</v>
      </c>
      <c r="B55" t="s">
        <v>61</v>
      </c>
      <c r="C55">
        <v>0</v>
      </c>
      <c r="D55" t="s">
        <v>48</v>
      </c>
      <c r="E55" t="s">
        <v>163</v>
      </c>
      <c r="F55" t="s">
        <v>41</v>
      </c>
      <c r="G55" t="s">
        <v>16</v>
      </c>
      <c r="H55" t="s">
        <v>42</v>
      </c>
      <c r="I55" t="s">
        <v>62</v>
      </c>
      <c r="J55">
        <v>0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</row>
    <row r="56" spans="1:15">
      <c r="A56" t="s">
        <v>36</v>
      </c>
      <c r="B56" t="s">
        <v>63</v>
      </c>
      <c r="C56">
        <v>0</v>
      </c>
      <c r="D56" t="s">
        <v>48</v>
      </c>
      <c r="E56" t="s">
        <v>163</v>
      </c>
      <c r="F56" t="s">
        <v>41</v>
      </c>
      <c r="G56" t="s">
        <v>16</v>
      </c>
      <c r="H56" t="s">
        <v>42</v>
      </c>
      <c r="I56" t="s">
        <v>64</v>
      </c>
      <c r="J56">
        <v>0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</row>
    <row r="57" spans="1:15">
      <c r="A57" t="s">
        <v>36</v>
      </c>
      <c r="B57" t="s">
        <v>65</v>
      </c>
      <c r="C57">
        <v>0</v>
      </c>
      <c r="D57" t="s">
        <v>48</v>
      </c>
      <c r="E57" t="s">
        <v>163</v>
      </c>
      <c r="F57" t="s">
        <v>41</v>
      </c>
      <c r="G57" t="s">
        <v>16</v>
      </c>
      <c r="H57" t="s">
        <v>42</v>
      </c>
      <c r="I57" t="s">
        <v>66</v>
      </c>
      <c r="J57">
        <v>0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</row>
    <row r="58" spans="1:15">
      <c r="A58" t="s">
        <v>36</v>
      </c>
      <c r="B58" t="s">
        <v>67</v>
      </c>
      <c r="C58">
        <v>0</v>
      </c>
      <c r="D58" t="s">
        <v>48</v>
      </c>
      <c r="E58" t="s">
        <v>163</v>
      </c>
      <c r="F58" t="s">
        <v>41</v>
      </c>
      <c r="G58" t="s">
        <v>16</v>
      </c>
      <c r="H58" t="s">
        <v>42</v>
      </c>
      <c r="I58" t="s">
        <v>68</v>
      </c>
      <c r="J58">
        <v>0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</row>
    <row r="59" spans="1:15">
      <c r="A59" t="s">
        <v>36</v>
      </c>
      <c r="B59" t="s">
        <v>69</v>
      </c>
      <c r="C59">
        <v>0</v>
      </c>
      <c r="D59" t="s">
        <v>48</v>
      </c>
      <c r="E59" t="s">
        <v>163</v>
      </c>
      <c r="F59" t="s">
        <v>41</v>
      </c>
      <c r="G59" t="s">
        <v>16</v>
      </c>
      <c r="H59" t="s">
        <v>42</v>
      </c>
      <c r="I59" t="s">
        <v>70</v>
      </c>
      <c r="J59">
        <v>0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</row>
    <row r="60" spans="1:15">
      <c r="A60" t="s">
        <v>36</v>
      </c>
      <c r="B60" t="s">
        <v>71</v>
      </c>
      <c r="C60">
        <v>0</v>
      </c>
      <c r="D60" t="s">
        <v>48</v>
      </c>
      <c r="E60" t="s">
        <v>163</v>
      </c>
      <c r="F60" t="s">
        <v>41</v>
      </c>
      <c r="G60" t="s">
        <v>51</v>
      </c>
      <c r="H60" t="s">
        <v>42</v>
      </c>
      <c r="I60" t="s">
        <v>72</v>
      </c>
      <c r="J60">
        <v>0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</row>
    <row r="61" spans="1:15">
      <c r="A61" t="s">
        <v>36</v>
      </c>
      <c r="B61" t="s">
        <v>75</v>
      </c>
      <c r="C61">
        <v>0</v>
      </c>
      <c r="D61" t="s">
        <v>48</v>
      </c>
      <c r="E61" t="s">
        <v>163</v>
      </c>
      <c r="F61" t="s">
        <v>41</v>
      </c>
      <c r="G61" t="s">
        <v>16</v>
      </c>
      <c r="H61" t="s">
        <v>42</v>
      </c>
      <c r="I61" t="s">
        <v>76</v>
      </c>
      <c r="J61">
        <v>0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</row>
    <row r="62" spans="1:15">
      <c r="A62" t="s">
        <v>36</v>
      </c>
      <c r="B62" t="s">
        <v>77</v>
      </c>
      <c r="C62">
        <v>0</v>
      </c>
      <c r="D62" t="s">
        <v>48</v>
      </c>
      <c r="E62" t="s">
        <v>163</v>
      </c>
      <c r="F62" t="s">
        <v>41</v>
      </c>
      <c r="G62" t="s">
        <v>16</v>
      </c>
      <c r="H62" t="s">
        <v>42</v>
      </c>
      <c r="I62" t="s">
        <v>78</v>
      </c>
      <c r="J62">
        <v>0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</row>
    <row r="63" spans="1:15">
      <c r="A63" t="s">
        <v>36</v>
      </c>
      <c r="B63" t="s">
        <v>79</v>
      </c>
      <c r="C63">
        <v>6.2700000000000006E-2</v>
      </c>
      <c r="D63" t="s">
        <v>48</v>
      </c>
      <c r="E63" t="s">
        <v>163</v>
      </c>
      <c r="F63" t="s">
        <v>41</v>
      </c>
      <c r="G63" t="s">
        <v>80</v>
      </c>
      <c r="H63" t="s">
        <v>42</v>
      </c>
      <c r="I63" t="s">
        <v>81</v>
      </c>
      <c r="J63">
        <v>0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</row>
    <row r="64" spans="1:15">
      <c r="A64" t="s">
        <v>36</v>
      </c>
      <c r="B64" t="s">
        <v>82</v>
      </c>
      <c r="C64">
        <v>3.0000000000000001E-3</v>
      </c>
      <c r="D64" t="s">
        <v>48</v>
      </c>
      <c r="E64" t="s">
        <v>163</v>
      </c>
      <c r="F64" t="s">
        <v>41</v>
      </c>
      <c r="G64" t="s">
        <v>16</v>
      </c>
      <c r="H64" t="s">
        <v>42</v>
      </c>
      <c r="I64" t="s">
        <v>83</v>
      </c>
      <c r="J64">
        <v>0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</row>
    <row r="65" spans="1:15">
      <c r="A65" t="s">
        <v>36</v>
      </c>
      <c r="B65" t="s">
        <v>84</v>
      </c>
      <c r="C65">
        <v>0.06</v>
      </c>
      <c r="D65" t="s">
        <v>48</v>
      </c>
      <c r="E65" t="s">
        <v>163</v>
      </c>
      <c r="F65" t="s">
        <v>41</v>
      </c>
      <c r="G65" t="s">
        <v>51</v>
      </c>
      <c r="H65" t="s">
        <v>42</v>
      </c>
      <c r="I65" t="s">
        <v>85</v>
      </c>
      <c r="J65">
        <v>0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</row>
    <row r="66" spans="1:15">
      <c r="A66" t="s">
        <v>36</v>
      </c>
      <c r="B66" t="s">
        <v>55</v>
      </c>
      <c r="C66">
        <v>0</v>
      </c>
      <c r="D66" t="s">
        <v>48</v>
      </c>
      <c r="E66" t="s">
        <v>163</v>
      </c>
      <c r="F66" t="s">
        <v>41</v>
      </c>
      <c r="G66" t="s">
        <v>16</v>
      </c>
      <c r="H66" t="s">
        <v>42</v>
      </c>
      <c r="I66" t="s">
        <v>56</v>
      </c>
      <c r="J66">
        <v>0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</row>
    <row r="67" spans="1:15">
      <c r="A67" t="s">
        <v>36</v>
      </c>
      <c r="B67" t="s">
        <v>86</v>
      </c>
      <c r="C67">
        <v>0</v>
      </c>
      <c r="D67" t="s">
        <v>48</v>
      </c>
      <c r="E67" t="s">
        <v>163</v>
      </c>
      <c r="F67" t="s">
        <v>41</v>
      </c>
      <c r="G67" t="s">
        <v>51</v>
      </c>
      <c r="H67" t="s">
        <v>42</v>
      </c>
      <c r="I67" t="s">
        <v>87</v>
      </c>
      <c r="J67">
        <v>0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</row>
    <row r="68" spans="1:15">
      <c r="A68" t="s">
        <v>36</v>
      </c>
      <c r="B68" t="s">
        <v>88</v>
      </c>
      <c r="C68">
        <v>5.0000000000000001E-4</v>
      </c>
      <c r="D68" t="s">
        <v>48</v>
      </c>
      <c r="E68" t="s">
        <v>163</v>
      </c>
      <c r="F68" t="s">
        <v>41</v>
      </c>
      <c r="G68" t="s">
        <v>51</v>
      </c>
      <c r="H68" t="s">
        <v>42</v>
      </c>
      <c r="I68" t="s">
        <v>89</v>
      </c>
      <c r="J68">
        <v>0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</row>
    <row r="69" spans="1:15">
      <c r="A69" t="s">
        <v>36</v>
      </c>
      <c r="B69" t="s">
        <v>90</v>
      </c>
      <c r="C69">
        <v>0</v>
      </c>
      <c r="D69" t="s">
        <v>48</v>
      </c>
      <c r="E69" t="s">
        <v>163</v>
      </c>
      <c r="F69" t="s">
        <v>41</v>
      </c>
      <c r="G69" t="s">
        <v>16</v>
      </c>
      <c r="H69" t="s">
        <v>42</v>
      </c>
      <c r="I69" t="s">
        <v>91</v>
      </c>
      <c r="J69">
        <v>0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</row>
    <row r="71" spans="1:15">
      <c r="A71" s="4" t="s">
        <v>8</v>
      </c>
      <c r="B71" s="4" t="s">
        <v>97</v>
      </c>
    </row>
    <row r="72" spans="1:15">
      <c r="A72" t="s">
        <v>9</v>
      </c>
      <c r="B72" t="s">
        <v>98</v>
      </c>
    </row>
    <row r="73" spans="1:15">
      <c r="A73" t="s">
        <v>10</v>
      </c>
      <c r="B73" t="s">
        <v>39</v>
      </c>
    </row>
    <row r="74" spans="1:15">
      <c r="A74" t="s">
        <v>11</v>
      </c>
      <c r="B74">
        <v>230</v>
      </c>
    </row>
    <row r="75" spans="1:15">
      <c r="A75" t="s">
        <v>12</v>
      </c>
      <c r="B75" t="s">
        <v>13</v>
      </c>
    </row>
    <row r="76" spans="1:15">
      <c r="A76" t="s">
        <v>14</v>
      </c>
      <c r="B76" t="s">
        <v>4</v>
      </c>
    </row>
    <row r="77" spans="1:15">
      <c r="A77" t="s">
        <v>15</v>
      </c>
      <c r="B77" t="s">
        <v>16</v>
      </c>
    </row>
    <row r="78" spans="1:15">
      <c r="A78" t="s">
        <v>17</v>
      </c>
      <c r="B78">
        <v>1</v>
      </c>
    </row>
    <row r="79" spans="1:15">
      <c r="A79" t="s">
        <v>18</v>
      </c>
      <c r="B79" t="s">
        <v>19</v>
      </c>
    </row>
    <row r="80" spans="1:15">
      <c r="A80" t="s">
        <v>20</v>
      </c>
      <c r="B80" t="s">
        <v>21</v>
      </c>
    </row>
    <row r="81" spans="1:15">
      <c r="A81" t="s">
        <v>22</v>
      </c>
      <c r="B81" t="s">
        <v>92</v>
      </c>
    </row>
    <row r="82" spans="1:15">
      <c r="A82" t="s">
        <v>24</v>
      </c>
    </row>
    <row r="83" spans="1:15">
      <c r="A83" t="s">
        <v>9</v>
      </c>
      <c r="B83" t="s">
        <v>25</v>
      </c>
      <c r="C83" t="s">
        <v>17</v>
      </c>
      <c r="D83" t="s">
        <v>20</v>
      </c>
      <c r="E83" t="s">
        <v>26</v>
      </c>
      <c r="F83" t="s">
        <v>27</v>
      </c>
      <c r="G83" t="s">
        <v>15</v>
      </c>
      <c r="H83" t="s">
        <v>18</v>
      </c>
      <c r="I83" t="s">
        <v>22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33</v>
      </c>
    </row>
    <row r="84" spans="1:15">
      <c r="A84" t="s">
        <v>98</v>
      </c>
      <c r="B84" t="s">
        <v>97</v>
      </c>
      <c r="C84">
        <v>1</v>
      </c>
      <c r="D84" t="s">
        <v>21</v>
      </c>
      <c r="E84" t="str">
        <f>$B$2</f>
        <v>paw_NPi_2035</v>
      </c>
      <c r="F84" t="s">
        <v>34</v>
      </c>
      <c r="G84" t="s">
        <v>16</v>
      </c>
      <c r="H84" t="s">
        <v>35</v>
      </c>
      <c r="I84" t="s">
        <v>92</v>
      </c>
      <c r="J84">
        <v>0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</row>
    <row r="85" spans="1:15">
      <c r="A85" t="s">
        <v>36</v>
      </c>
      <c r="B85" t="s">
        <v>93</v>
      </c>
      <c r="C85">
        <v>5.0499999999999998E-3</v>
      </c>
      <c r="D85" t="s">
        <v>48</v>
      </c>
      <c r="E85" t="s">
        <v>120</v>
      </c>
      <c r="F85" t="s">
        <v>99</v>
      </c>
      <c r="G85" t="s">
        <v>73</v>
      </c>
      <c r="H85" t="s">
        <v>74</v>
      </c>
      <c r="I85" t="s">
        <v>73</v>
      </c>
      <c r="J85">
        <v>0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</row>
    <row r="86" spans="1:15">
      <c r="A86" t="s">
        <v>36</v>
      </c>
      <c r="B86" t="s">
        <v>94</v>
      </c>
      <c r="C86">
        <v>-3.0000000000000001E-3</v>
      </c>
      <c r="D86" t="s">
        <v>48</v>
      </c>
      <c r="E86" t="s">
        <v>163</v>
      </c>
      <c r="F86" t="s">
        <v>41</v>
      </c>
      <c r="G86" t="s">
        <v>80</v>
      </c>
      <c r="H86" t="s">
        <v>42</v>
      </c>
      <c r="I86" t="s">
        <v>100</v>
      </c>
      <c r="J86">
        <v>0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</row>
    <row r="87" spans="1:15">
      <c r="A87" t="s">
        <v>36</v>
      </c>
      <c r="B87" t="s">
        <v>95</v>
      </c>
      <c r="C87">
        <v>-5.4499999999999997E-7</v>
      </c>
      <c r="D87" t="s">
        <v>21</v>
      </c>
      <c r="E87" t="s">
        <v>163</v>
      </c>
      <c r="F87" t="s">
        <v>41</v>
      </c>
      <c r="G87" t="s">
        <v>101</v>
      </c>
      <c r="H87" t="s">
        <v>42</v>
      </c>
      <c r="I87" t="s">
        <v>102</v>
      </c>
      <c r="J87">
        <v>0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</row>
    <row r="88" spans="1:15">
      <c r="A88" t="s">
        <v>36</v>
      </c>
      <c r="B88" t="s">
        <v>96</v>
      </c>
      <c r="C88">
        <v>-5.0499999999999998E-3</v>
      </c>
      <c r="D88" t="s">
        <v>48</v>
      </c>
      <c r="E88" t="s">
        <v>163</v>
      </c>
      <c r="F88" t="s">
        <v>41</v>
      </c>
      <c r="G88" t="s">
        <v>16</v>
      </c>
      <c r="H88" t="s">
        <v>42</v>
      </c>
      <c r="I88" t="s">
        <v>103</v>
      </c>
      <c r="J88">
        <v>0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</row>
    <row r="90" spans="1:15">
      <c r="A90" s="10" t="s">
        <v>8</v>
      </c>
      <c r="B90" s="10" t="s">
        <v>122</v>
      </c>
    </row>
    <row r="91" spans="1:15">
      <c r="A91" s="10" t="s">
        <v>162</v>
      </c>
      <c r="B91" s="10" t="s">
        <v>141</v>
      </c>
    </row>
    <row r="92" spans="1:15">
      <c r="A92" s="10" t="s">
        <v>128</v>
      </c>
      <c r="B92" s="10" t="s">
        <v>142</v>
      </c>
    </row>
    <row r="93" spans="1:15">
      <c r="A93" t="s">
        <v>11</v>
      </c>
      <c r="B93">
        <v>230</v>
      </c>
    </row>
    <row r="94" spans="1:15">
      <c r="A94" t="s">
        <v>15</v>
      </c>
      <c r="B94" t="s">
        <v>123</v>
      </c>
    </row>
    <row r="95" spans="1:15">
      <c r="A95" t="s">
        <v>17</v>
      </c>
      <c r="B95">
        <v>1</v>
      </c>
    </row>
    <row r="96" spans="1:15">
      <c r="A96" t="s">
        <v>18</v>
      </c>
      <c r="B96" t="s">
        <v>19</v>
      </c>
    </row>
    <row r="97" spans="1:15">
      <c r="A97" t="s">
        <v>20</v>
      </c>
      <c r="B97" t="s">
        <v>21</v>
      </c>
    </row>
    <row r="98" spans="1:15">
      <c r="A98" t="s">
        <v>22</v>
      </c>
      <c r="B98" t="s">
        <v>102</v>
      </c>
    </row>
    <row r="99" spans="1:15">
      <c r="A99" t="s">
        <v>24</v>
      </c>
    </row>
    <row r="100" spans="1:15">
      <c r="A100" t="s">
        <v>9</v>
      </c>
      <c r="B100" t="s">
        <v>25</v>
      </c>
      <c r="C100" t="s">
        <v>17</v>
      </c>
      <c r="D100" t="s">
        <v>20</v>
      </c>
      <c r="E100" t="s">
        <v>26</v>
      </c>
      <c r="F100" t="s">
        <v>27</v>
      </c>
      <c r="G100" t="s">
        <v>15</v>
      </c>
      <c r="H100" t="s">
        <v>18</v>
      </c>
      <c r="I100" t="s">
        <v>22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33</v>
      </c>
    </row>
    <row r="101" spans="1:15">
      <c r="A101" t="str">
        <f>B91</f>
        <v>sec_tre =&gt; qua_tre__gac</v>
      </c>
      <c r="B101" t="str">
        <f>B90</f>
        <v>Activated Carbon Technology</v>
      </c>
      <c r="C101">
        <v>1</v>
      </c>
      <c r="D101" t="str">
        <f>B97</f>
        <v>cubic meter</v>
      </c>
      <c r="E101" t="str">
        <f>$B$2</f>
        <v>paw_NPi_2035</v>
      </c>
      <c r="F101" t="s">
        <v>34</v>
      </c>
      <c r="G101" t="str">
        <f>B94</f>
        <v>DE</v>
      </c>
      <c r="H101" t="s">
        <v>35</v>
      </c>
      <c r="I101" t="str">
        <f>B98</f>
        <v>wastewater, average</v>
      </c>
      <c r="J101">
        <v>0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</row>
    <row r="102" spans="1:15">
      <c r="A102" t="s">
        <v>36</v>
      </c>
      <c r="B102" t="str">
        <f>B71</f>
        <v>Emissions 230</v>
      </c>
      <c r="C102">
        <v>1</v>
      </c>
      <c r="D102" t="str">
        <f>B80</f>
        <v>cubic meter</v>
      </c>
      <c r="E102" t="str">
        <f>E101</f>
        <v>paw_NPi_2035</v>
      </c>
      <c r="F102" t="s">
        <v>41</v>
      </c>
      <c r="G102" t="str">
        <f>B77</f>
        <v>RER</v>
      </c>
      <c r="H102" t="s">
        <v>42</v>
      </c>
      <c r="I102" t="str">
        <f>B81</f>
        <v>direct emissions per m3</v>
      </c>
      <c r="J102">
        <v>0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</row>
    <row r="103" spans="1:15">
      <c r="A103" t="s">
        <v>36</v>
      </c>
      <c r="B103" t="str">
        <f>B38</f>
        <v>Chemicals 230</v>
      </c>
      <c r="C103">
        <v>1</v>
      </c>
      <c r="D103" t="str">
        <f>B47</f>
        <v>cubic meter</v>
      </c>
      <c r="E103" t="str">
        <f>E102</f>
        <v>paw_NPi_2035</v>
      </c>
      <c r="F103" t="s">
        <v>34</v>
      </c>
      <c r="G103" t="str">
        <f>B44</f>
        <v>RER</v>
      </c>
      <c r="H103" t="s">
        <v>42</v>
      </c>
      <c r="I103" t="str">
        <f>B48</f>
        <v>chemicals per m3</v>
      </c>
      <c r="J103">
        <v>1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</row>
    <row r="104" spans="1:15">
      <c r="A104" t="s">
        <v>36</v>
      </c>
      <c r="B104" t="str">
        <f>B21</f>
        <v>GAC 230</v>
      </c>
      <c r="C104">
        <v>1</v>
      </c>
      <c r="D104" t="str">
        <f>B30</f>
        <v>cubic meter</v>
      </c>
      <c r="E104" t="str">
        <f>E103</f>
        <v>paw_NPi_2035</v>
      </c>
      <c r="F104" t="s">
        <v>34</v>
      </c>
      <c r="G104" t="str">
        <f>B27</f>
        <v>RER</v>
      </c>
      <c r="H104" t="s">
        <v>42</v>
      </c>
      <c r="I104" t="str">
        <f>B31</f>
        <v>GAC per m3</v>
      </c>
      <c r="J104">
        <v>2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</row>
    <row r="105" spans="1:15">
      <c r="A105" t="s">
        <v>36</v>
      </c>
      <c r="B105" t="str">
        <f>B5</f>
        <v>Electricity 230</v>
      </c>
      <c r="C105">
        <v>1</v>
      </c>
      <c r="D105" t="str">
        <f>B14</f>
        <v>cubic meter</v>
      </c>
      <c r="E105" t="str">
        <f>E104</f>
        <v>paw_NPi_2035</v>
      </c>
      <c r="F105" t="s">
        <v>34</v>
      </c>
      <c r="G105" t="str">
        <f>B11</f>
        <v>RER</v>
      </c>
      <c r="H105" t="s">
        <v>42</v>
      </c>
      <c r="I105" t="str">
        <f>B15</f>
        <v>electricity per m3</v>
      </c>
      <c r="J105">
        <v>3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</row>
    <row r="107" spans="1:15">
      <c r="A107" s="4" t="s">
        <v>8</v>
      </c>
      <c r="B107" s="4" t="s">
        <v>104</v>
      </c>
    </row>
    <row r="108" spans="1:15">
      <c r="A108" t="s">
        <v>9</v>
      </c>
      <c r="B108" t="s">
        <v>105</v>
      </c>
    </row>
    <row r="109" spans="1:15">
      <c r="A109" t="s">
        <v>10</v>
      </c>
      <c r="B109" t="s">
        <v>106</v>
      </c>
    </row>
    <row r="110" spans="1:15">
      <c r="A110" t="s">
        <v>11</v>
      </c>
      <c r="B110">
        <v>102</v>
      </c>
    </row>
    <row r="111" spans="1:15">
      <c r="A111" t="s">
        <v>12</v>
      </c>
      <c r="B111" t="s">
        <v>13</v>
      </c>
    </row>
    <row r="112" spans="1:15">
      <c r="A112" t="s">
        <v>14</v>
      </c>
      <c r="B112" t="s">
        <v>5</v>
      </c>
    </row>
    <row r="113" spans="1:15">
      <c r="A113" t="s">
        <v>15</v>
      </c>
      <c r="B113" t="s">
        <v>16</v>
      </c>
    </row>
    <row r="114" spans="1:15">
      <c r="A114" t="s">
        <v>17</v>
      </c>
      <c r="B114">
        <v>1</v>
      </c>
    </row>
    <row r="115" spans="1:15">
      <c r="A115" t="s">
        <v>18</v>
      </c>
      <c r="B115" t="s">
        <v>19</v>
      </c>
    </row>
    <row r="116" spans="1:15">
      <c r="A116" t="s">
        <v>20</v>
      </c>
      <c r="B116" t="s">
        <v>21</v>
      </c>
    </row>
    <row r="117" spans="1:15">
      <c r="A117" t="s">
        <v>22</v>
      </c>
      <c r="B117" t="s">
        <v>23</v>
      </c>
    </row>
    <row r="118" spans="1:15">
      <c r="A118" t="s">
        <v>24</v>
      </c>
    </row>
    <row r="119" spans="1:15">
      <c r="A119" t="s">
        <v>9</v>
      </c>
      <c r="B119" t="s">
        <v>25</v>
      </c>
      <c r="C119" t="s">
        <v>17</v>
      </c>
      <c r="D119" t="s">
        <v>20</v>
      </c>
      <c r="E119" t="s">
        <v>26</v>
      </c>
      <c r="F119" t="s">
        <v>27</v>
      </c>
      <c r="G119" t="s">
        <v>15</v>
      </c>
      <c r="H119" t="s">
        <v>18</v>
      </c>
      <c r="I119" t="s">
        <v>22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</row>
    <row r="120" spans="1:15">
      <c r="A120" t="s">
        <v>105</v>
      </c>
      <c r="B120" t="s">
        <v>104</v>
      </c>
      <c r="C120">
        <v>1</v>
      </c>
      <c r="D120" t="s">
        <v>21</v>
      </c>
      <c r="E120" t="str">
        <f>$B$2</f>
        <v>paw_NPi_2035</v>
      </c>
      <c r="F120" t="s">
        <v>34</v>
      </c>
      <c r="G120" t="s">
        <v>16</v>
      </c>
      <c r="H120" t="s">
        <v>35</v>
      </c>
      <c r="I120" t="s">
        <v>23</v>
      </c>
      <c r="J120">
        <v>0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</row>
    <row r="121" spans="1:15">
      <c r="A121" t="s">
        <v>36</v>
      </c>
      <c r="B121" t="s">
        <v>127</v>
      </c>
      <c r="C121">
        <v>0.17</v>
      </c>
      <c r="D121" t="s">
        <v>40</v>
      </c>
      <c r="E121" t="s">
        <v>163</v>
      </c>
      <c r="F121" t="s">
        <v>34</v>
      </c>
      <c r="G121" t="s">
        <v>123</v>
      </c>
      <c r="H121" t="s">
        <v>42</v>
      </c>
      <c r="I121" t="s">
        <v>43</v>
      </c>
      <c r="J121">
        <v>0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</row>
    <row r="123" spans="1:15">
      <c r="A123" s="4" t="s">
        <v>8</v>
      </c>
      <c r="B123" s="4" t="s">
        <v>107</v>
      </c>
    </row>
    <row r="124" spans="1:15">
      <c r="A124" t="s">
        <v>9</v>
      </c>
      <c r="B124" t="s">
        <v>108</v>
      </c>
    </row>
    <row r="125" spans="1:15">
      <c r="A125" t="s">
        <v>10</v>
      </c>
      <c r="B125" t="s">
        <v>106</v>
      </c>
    </row>
    <row r="126" spans="1:15">
      <c r="A126" t="s">
        <v>11</v>
      </c>
      <c r="B126">
        <v>102</v>
      </c>
    </row>
    <row r="127" spans="1:15">
      <c r="A127" t="s">
        <v>12</v>
      </c>
      <c r="B127" t="s">
        <v>13</v>
      </c>
    </row>
    <row r="128" spans="1:15">
      <c r="A128" t="s">
        <v>14</v>
      </c>
      <c r="B128" t="s">
        <v>5</v>
      </c>
    </row>
    <row r="129" spans="1:15">
      <c r="A129" t="s">
        <v>15</v>
      </c>
      <c r="B129" t="s">
        <v>16</v>
      </c>
    </row>
    <row r="130" spans="1:15">
      <c r="A130" t="s">
        <v>17</v>
      </c>
      <c r="B130">
        <v>1</v>
      </c>
    </row>
    <row r="131" spans="1:15">
      <c r="A131" t="s">
        <v>18</v>
      </c>
      <c r="B131" t="s">
        <v>19</v>
      </c>
    </row>
    <row r="132" spans="1:15">
      <c r="A132" t="s">
        <v>20</v>
      </c>
      <c r="B132" t="s">
        <v>21</v>
      </c>
    </row>
    <row r="133" spans="1:15">
      <c r="A133" t="s">
        <v>22</v>
      </c>
      <c r="B133" t="s">
        <v>54</v>
      </c>
    </row>
    <row r="134" spans="1:15">
      <c r="A134" t="s">
        <v>24</v>
      </c>
    </row>
    <row r="135" spans="1:15">
      <c r="A135" t="s">
        <v>9</v>
      </c>
      <c r="B135" t="s">
        <v>25</v>
      </c>
      <c r="C135" t="s">
        <v>17</v>
      </c>
      <c r="D135" t="s">
        <v>20</v>
      </c>
      <c r="E135" t="s">
        <v>26</v>
      </c>
      <c r="F135" t="s">
        <v>27</v>
      </c>
      <c r="G135" t="s">
        <v>15</v>
      </c>
      <c r="H135" t="s">
        <v>18</v>
      </c>
      <c r="I135" t="s">
        <v>22</v>
      </c>
      <c r="J135" t="s">
        <v>28</v>
      </c>
      <c r="K135" t="s">
        <v>29</v>
      </c>
      <c r="L135" t="s">
        <v>30</v>
      </c>
      <c r="M135" t="s">
        <v>31</v>
      </c>
      <c r="N135" t="s">
        <v>32</v>
      </c>
      <c r="O135" t="s">
        <v>33</v>
      </c>
    </row>
    <row r="136" spans="1:15">
      <c r="A136" t="s">
        <v>108</v>
      </c>
      <c r="B136" t="s">
        <v>107</v>
      </c>
      <c r="C136">
        <v>1</v>
      </c>
      <c r="D136" t="s">
        <v>21</v>
      </c>
      <c r="E136" t="str">
        <f>$B$2</f>
        <v>paw_NPi_2035</v>
      </c>
      <c r="F136" t="s">
        <v>34</v>
      </c>
      <c r="G136" t="s">
        <v>16</v>
      </c>
      <c r="H136" t="s">
        <v>35</v>
      </c>
      <c r="I136" t="s">
        <v>54</v>
      </c>
      <c r="J136">
        <v>0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</row>
    <row r="137" spans="1:15">
      <c r="A137" t="s">
        <v>36</v>
      </c>
      <c r="B137" t="s">
        <v>69</v>
      </c>
      <c r="C137">
        <v>0.114</v>
      </c>
      <c r="D137" t="s">
        <v>48</v>
      </c>
      <c r="E137" t="s">
        <v>163</v>
      </c>
      <c r="F137" t="s">
        <v>34</v>
      </c>
      <c r="G137" t="s">
        <v>16</v>
      </c>
      <c r="H137" t="s">
        <v>42</v>
      </c>
      <c r="I137" t="s">
        <v>70</v>
      </c>
      <c r="J137">
        <v>0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</row>
    <row r="139" spans="1:15" s="10" customFormat="1">
      <c r="A139" s="10" t="s">
        <v>8</v>
      </c>
      <c r="B139" s="10" t="s">
        <v>125</v>
      </c>
    </row>
    <row r="140" spans="1:15" s="10" customFormat="1">
      <c r="A140" s="10" t="s">
        <v>162</v>
      </c>
      <c r="B140" s="10" t="s">
        <v>137</v>
      </c>
    </row>
    <row r="141" spans="1:15" s="10" customFormat="1">
      <c r="A141" s="10" t="s">
        <v>128</v>
      </c>
      <c r="B141" s="10" t="s">
        <v>138</v>
      </c>
    </row>
    <row r="142" spans="1:15">
      <c r="A142" t="s">
        <v>15</v>
      </c>
      <c r="B142" t="s">
        <v>123</v>
      </c>
    </row>
    <row r="143" spans="1:15">
      <c r="A143" t="s">
        <v>11</v>
      </c>
      <c r="B143">
        <v>102</v>
      </c>
    </row>
    <row r="144" spans="1:15">
      <c r="A144" t="s">
        <v>17</v>
      </c>
      <c r="B144">
        <v>1</v>
      </c>
    </row>
    <row r="145" spans="1:15">
      <c r="A145" t="s">
        <v>18</v>
      </c>
      <c r="B145" t="s">
        <v>19</v>
      </c>
    </row>
    <row r="146" spans="1:15">
      <c r="A146" t="s">
        <v>20</v>
      </c>
      <c r="B146" t="s">
        <v>21</v>
      </c>
    </row>
    <row r="147" spans="1:15">
      <c r="A147" t="s">
        <v>22</v>
      </c>
      <c r="B147" t="s">
        <v>126</v>
      </c>
    </row>
    <row r="148" spans="1:15">
      <c r="A148" t="s">
        <v>24</v>
      </c>
    </row>
    <row r="149" spans="1:15">
      <c r="A149" t="s">
        <v>9</v>
      </c>
      <c r="B149" t="s">
        <v>25</v>
      </c>
      <c r="C149" t="s">
        <v>17</v>
      </c>
      <c r="D149" t="s">
        <v>20</v>
      </c>
      <c r="E149" t="s">
        <v>26</v>
      </c>
      <c r="F149" t="s">
        <v>27</v>
      </c>
      <c r="G149" t="s">
        <v>15</v>
      </c>
      <c r="H149" t="s">
        <v>18</v>
      </c>
      <c r="I149" t="s">
        <v>22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  <c r="O149" t="s">
        <v>33</v>
      </c>
    </row>
    <row r="150" spans="1:15">
      <c r="A150" t="str">
        <f>B140</f>
        <v>sec_tre =&gt; qua_tre__o3</v>
      </c>
      <c r="B150" t="str">
        <f>B139</f>
        <v>Ozonation</v>
      </c>
      <c r="C150">
        <v>1</v>
      </c>
      <c r="D150" t="str">
        <f>B146</f>
        <v>cubic meter</v>
      </c>
      <c r="E150" t="str">
        <f>$B$2</f>
        <v>paw_NPi_2035</v>
      </c>
      <c r="F150" t="s">
        <v>34</v>
      </c>
      <c r="G150" t="str">
        <f>B142</f>
        <v>DE</v>
      </c>
      <c r="H150" t="s">
        <v>35</v>
      </c>
      <c r="I150" t="str">
        <f>B147</f>
        <v>treated wastewater</v>
      </c>
      <c r="J150">
        <v>0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</row>
    <row r="151" spans="1:15">
      <c r="A151" t="s">
        <v>36</v>
      </c>
      <c r="B151" t="str">
        <f>B123</f>
        <v>Chemicals 102</v>
      </c>
      <c r="C151">
        <v>1</v>
      </c>
      <c r="D151" t="str">
        <f>B146</f>
        <v>cubic meter</v>
      </c>
      <c r="E151" t="str">
        <f>E150</f>
        <v>paw_NPi_2035</v>
      </c>
      <c r="F151" t="s">
        <v>41</v>
      </c>
      <c r="G151" t="str">
        <f>B129</f>
        <v>RER</v>
      </c>
      <c r="H151" t="s">
        <v>42</v>
      </c>
      <c r="I151" t="str">
        <f>B132</f>
        <v>cubic meter</v>
      </c>
      <c r="J151">
        <v>0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</row>
    <row r="152" spans="1:15">
      <c r="A152" t="s">
        <v>36</v>
      </c>
      <c r="B152" t="str">
        <f>B107</f>
        <v>Electricity 102</v>
      </c>
      <c r="C152">
        <v>1</v>
      </c>
      <c r="D152" t="str">
        <f>B116</f>
        <v>cubic meter</v>
      </c>
      <c r="E152" t="str">
        <f>E151</f>
        <v>paw_NPi_2035</v>
      </c>
      <c r="F152" t="s">
        <v>34</v>
      </c>
      <c r="G152" t="str">
        <f>B113</f>
        <v>RER</v>
      </c>
      <c r="H152" t="str">
        <f>H151</f>
        <v>technosphere</v>
      </c>
      <c r="I152" t="str">
        <f>B116</f>
        <v>cubic meter</v>
      </c>
      <c r="J152">
        <v>0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</row>
    <row r="153" spans="1:15" ht="13.7" customHeight="1"/>
    <row r="154" spans="1:15" s="10" customFormat="1">
      <c r="A154" s="10" t="s">
        <v>8</v>
      </c>
      <c r="B154" s="10" t="s">
        <v>124</v>
      </c>
    </row>
    <row r="155" spans="1:15" s="10" customFormat="1">
      <c r="A155" s="10" t="s">
        <v>162</v>
      </c>
      <c r="B155" s="10" t="s">
        <v>140</v>
      </c>
    </row>
    <row r="156" spans="1:15" s="10" customFormat="1">
      <c r="A156" s="10" t="s">
        <v>128</v>
      </c>
      <c r="B156" s="10" t="s">
        <v>139</v>
      </c>
    </row>
    <row r="157" spans="1:15">
      <c r="A157" t="s">
        <v>10</v>
      </c>
      <c r="B157" t="s">
        <v>109</v>
      </c>
    </row>
    <row r="158" spans="1:15">
      <c r="A158" t="s">
        <v>11</v>
      </c>
      <c r="B158" s="9">
        <v>128</v>
      </c>
    </row>
    <row r="159" spans="1:15">
      <c r="A159" t="s">
        <v>12</v>
      </c>
      <c r="B159" t="s">
        <v>13</v>
      </c>
    </row>
    <row r="160" spans="1:15">
      <c r="A160" t="s">
        <v>14</v>
      </c>
      <c r="B160" t="s">
        <v>6</v>
      </c>
    </row>
    <row r="161" spans="1:15">
      <c r="A161" t="s">
        <v>15</v>
      </c>
      <c r="B161" t="s">
        <v>123</v>
      </c>
    </row>
    <row r="162" spans="1:15">
      <c r="A162" t="s">
        <v>17</v>
      </c>
      <c r="B162">
        <v>1</v>
      </c>
    </row>
    <row r="163" spans="1:15">
      <c r="A163" t="s">
        <v>18</v>
      </c>
      <c r="B163" t="s">
        <v>19</v>
      </c>
    </row>
    <row r="164" spans="1:15">
      <c r="A164" t="s">
        <v>20</v>
      </c>
      <c r="B164" t="s">
        <v>21</v>
      </c>
    </row>
    <row r="165" spans="1:15">
      <c r="A165" t="s">
        <v>22</v>
      </c>
      <c r="B165" t="s">
        <v>126</v>
      </c>
    </row>
    <row r="166" spans="1:15">
      <c r="A166" t="s">
        <v>24</v>
      </c>
    </row>
    <row r="167" spans="1:15">
      <c r="A167" t="s">
        <v>9</v>
      </c>
      <c r="B167" t="s">
        <v>25</v>
      </c>
      <c r="C167" t="s">
        <v>17</v>
      </c>
      <c r="D167" t="s">
        <v>20</v>
      </c>
      <c r="E167" t="s">
        <v>26</v>
      </c>
      <c r="F167" t="s">
        <v>27</v>
      </c>
      <c r="G167" t="s">
        <v>15</v>
      </c>
      <c r="H167" t="s">
        <v>18</v>
      </c>
      <c r="I167" t="s">
        <v>22</v>
      </c>
      <c r="J167" t="s">
        <v>28</v>
      </c>
      <c r="K167" t="s">
        <v>29</v>
      </c>
      <c r="L167" t="s">
        <v>30</v>
      </c>
      <c r="M167" t="s">
        <v>31</v>
      </c>
      <c r="N167" t="s">
        <v>32</v>
      </c>
      <c r="O167" t="s">
        <v>33</v>
      </c>
    </row>
    <row r="168" spans="1:15">
      <c r="A168" t="str">
        <f>B155</f>
        <v>sec_tre =&gt; qua_tre__aop</v>
      </c>
      <c r="B168" t="str">
        <f>B154</f>
        <v>Advanced Oxidation Process</v>
      </c>
      <c r="C168">
        <v>1</v>
      </c>
      <c r="D168" t="s">
        <v>21</v>
      </c>
      <c r="E168" t="str">
        <f>$B$2</f>
        <v>paw_NPi_2035</v>
      </c>
      <c r="F168" t="s">
        <v>34</v>
      </c>
      <c r="G168" t="s">
        <v>123</v>
      </c>
      <c r="H168" t="s">
        <v>35</v>
      </c>
      <c r="I168" t="str">
        <f>B165</f>
        <v>treated wastewater</v>
      </c>
      <c r="J168">
        <v>0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</row>
    <row r="169" spans="1:15">
      <c r="A169" t="s">
        <v>36</v>
      </c>
      <c r="B169" t="s">
        <v>61</v>
      </c>
      <c r="C169">
        <v>0.02</v>
      </c>
      <c r="D169" t="s">
        <v>48</v>
      </c>
      <c r="E169" t="s">
        <v>163</v>
      </c>
      <c r="F169" t="s">
        <v>34</v>
      </c>
      <c r="G169" t="s">
        <v>16</v>
      </c>
      <c r="H169" t="s">
        <v>42</v>
      </c>
      <c r="I169" t="s">
        <v>62</v>
      </c>
      <c r="J169">
        <v>0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</row>
    <row r="170" spans="1:15">
      <c r="A170" t="s">
        <v>36</v>
      </c>
      <c r="B170" t="s">
        <v>59</v>
      </c>
      <c r="C170">
        <v>0</v>
      </c>
      <c r="D170" t="s">
        <v>48</v>
      </c>
      <c r="E170" t="s">
        <v>163</v>
      </c>
      <c r="F170" t="s">
        <v>34</v>
      </c>
      <c r="G170" t="s">
        <v>16</v>
      </c>
      <c r="H170" t="s">
        <v>42</v>
      </c>
      <c r="I170" t="s">
        <v>60</v>
      </c>
      <c r="J170">
        <v>0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</row>
    <row r="171" spans="1:15">
      <c r="A171" t="s">
        <v>36</v>
      </c>
      <c r="B171" t="s">
        <v>110</v>
      </c>
      <c r="C171">
        <v>0.02</v>
      </c>
      <c r="D171" t="s">
        <v>48</v>
      </c>
      <c r="E171" t="s">
        <v>163</v>
      </c>
      <c r="F171" t="s">
        <v>34</v>
      </c>
      <c r="G171" t="s">
        <v>16</v>
      </c>
      <c r="H171" t="s">
        <v>42</v>
      </c>
      <c r="I171" t="s">
        <v>111</v>
      </c>
      <c r="J171">
        <v>0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</row>
    <row r="173" spans="1:15" s="10" customFormat="1">
      <c r="A173" s="10" t="s">
        <v>8</v>
      </c>
      <c r="B173" s="10" t="s">
        <v>112</v>
      </c>
    </row>
    <row r="174" spans="1:15" s="10" customFormat="1">
      <c r="A174" s="10" t="s">
        <v>162</v>
      </c>
      <c r="B174" s="10" t="s">
        <v>143</v>
      </c>
    </row>
    <row r="175" spans="1:15" s="10" customFormat="1">
      <c r="A175" s="10" t="s">
        <v>128</v>
      </c>
      <c r="B175" s="10" t="s">
        <v>144</v>
      </c>
    </row>
    <row r="176" spans="1:15" s="10" customFormat="1">
      <c r="A176" s="10" t="s">
        <v>147</v>
      </c>
      <c r="B176" s="10" t="s">
        <v>145</v>
      </c>
    </row>
    <row r="177" spans="1:15" s="10" customFormat="1">
      <c r="A177" s="10" t="s">
        <v>148</v>
      </c>
      <c r="B177" s="10" t="s">
        <v>146</v>
      </c>
    </row>
    <row r="178" spans="1:15" s="10" customFormat="1">
      <c r="A178" s="10" t="s">
        <v>154</v>
      </c>
      <c r="B178" s="10" t="s">
        <v>155</v>
      </c>
    </row>
    <row r="179" spans="1:15">
      <c r="A179" t="s">
        <v>15</v>
      </c>
      <c r="B179" t="s">
        <v>101</v>
      </c>
    </row>
    <row r="180" spans="1:15">
      <c r="A180" t="s">
        <v>17</v>
      </c>
      <c r="B180">
        <v>1</v>
      </c>
    </row>
    <row r="181" spans="1:15">
      <c r="A181" t="s">
        <v>18</v>
      </c>
      <c r="B181" t="s">
        <v>19</v>
      </c>
    </row>
    <row r="182" spans="1:15">
      <c r="A182" t="s">
        <v>20</v>
      </c>
      <c r="B182" t="s">
        <v>48</v>
      </c>
    </row>
    <row r="183" spans="1:15">
      <c r="A183" t="s">
        <v>22</v>
      </c>
      <c r="B183" t="s">
        <v>113</v>
      </c>
    </row>
    <row r="184" spans="1:15">
      <c r="A184" t="s">
        <v>24</v>
      </c>
    </row>
    <row r="185" spans="1:15">
      <c r="A185" t="s">
        <v>9</v>
      </c>
      <c r="B185" t="s">
        <v>25</v>
      </c>
      <c r="C185" t="s">
        <v>17</v>
      </c>
      <c r="D185" t="s">
        <v>20</v>
      </c>
      <c r="E185" t="s">
        <v>26</v>
      </c>
      <c r="F185" t="s">
        <v>27</v>
      </c>
      <c r="G185" t="s">
        <v>15</v>
      </c>
      <c r="H185" t="s">
        <v>18</v>
      </c>
      <c r="I185" t="s">
        <v>22</v>
      </c>
      <c r="J185" t="s">
        <v>28</v>
      </c>
      <c r="K185" t="s">
        <v>29</v>
      </c>
      <c r="L185" t="s">
        <v>30</v>
      </c>
      <c r="M185" t="s">
        <v>31</v>
      </c>
      <c r="N185" t="s">
        <v>32</v>
      </c>
      <c r="O185" t="s">
        <v>33</v>
      </c>
    </row>
    <row r="186" spans="1:15">
      <c r="A186" t="str">
        <f>B174</f>
        <v>qua_tre =&gt; inc__nof</v>
      </c>
      <c r="B186" t="str">
        <f>B173</f>
        <v xml:space="preserve">sludge incineration </v>
      </c>
      <c r="C186">
        <v>1</v>
      </c>
      <c r="D186" t="str">
        <f>B182</f>
        <v>kilogram</v>
      </c>
      <c r="E186" t="str">
        <f>B2</f>
        <v>paw_NPi_2035</v>
      </c>
      <c r="F186" t="s">
        <v>34</v>
      </c>
      <c r="G186" t="str">
        <f>B179</f>
        <v>Europe without Switzerland</v>
      </c>
      <c r="H186" t="s">
        <v>35</v>
      </c>
      <c r="I186" t="str">
        <f>B183</f>
        <v>sewage sludge, 70% water, WWT, WW, average</v>
      </c>
      <c r="J186">
        <v>0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</row>
    <row r="187" spans="1:15">
      <c r="A187" t="s">
        <v>36</v>
      </c>
      <c r="B187" t="s">
        <v>114</v>
      </c>
      <c r="C187">
        <v>-1</v>
      </c>
      <c r="D187" t="str">
        <f>D186</f>
        <v>kilogram</v>
      </c>
      <c r="E187" t="s">
        <v>163</v>
      </c>
      <c r="F187" t="s">
        <v>41</v>
      </c>
      <c r="G187" t="str">
        <f>B179</f>
        <v>Europe without Switzerland</v>
      </c>
      <c r="H187" t="s">
        <v>42</v>
      </c>
      <c r="I187" t="s">
        <v>113</v>
      </c>
      <c r="J187">
        <v>0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</row>
    <row r="188" spans="1:15" ht="15.6" customHeight="1"/>
    <row r="189" spans="1:15" s="10" customFormat="1">
      <c r="A189" s="10" t="s">
        <v>8</v>
      </c>
      <c r="B189" s="10" t="s">
        <v>115</v>
      </c>
    </row>
    <row r="190" spans="1:15" s="10" customFormat="1">
      <c r="A190" s="10" t="s">
        <v>162</v>
      </c>
      <c r="B190" s="10" t="s">
        <v>150</v>
      </c>
    </row>
    <row r="191" spans="1:15" s="10" customFormat="1">
      <c r="A191" s="10" t="s">
        <v>128</v>
      </c>
      <c r="B191" s="10" t="s">
        <v>149</v>
      </c>
    </row>
    <row r="192" spans="1:15" s="10" customFormat="1">
      <c r="A192" s="10" t="s">
        <v>147</v>
      </c>
      <c r="B192" s="10" t="s">
        <v>151</v>
      </c>
    </row>
    <row r="193" spans="1:15" s="10" customFormat="1">
      <c r="A193" s="10" t="s">
        <v>148</v>
      </c>
      <c r="B193" s="10" t="s">
        <v>152</v>
      </c>
    </row>
    <row r="194" spans="1:15" s="10" customFormat="1">
      <c r="A194" s="10" t="s">
        <v>154</v>
      </c>
      <c r="B194" s="10" t="s">
        <v>153</v>
      </c>
    </row>
    <row r="195" spans="1:15">
      <c r="A195" t="s">
        <v>15</v>
      </c>
      <c r="B195" t="s">
        <v>101</v>
      </c>
    </row>
    <row r="196" spans="1:15">
      <c r="A196" t="s">
        <v>17</v>
      </c>
      <c r="B196">
        <v>1</v>
      </c>
    </row>
    <row r="197" spans="1:15">
      <c r="A197" t="s">
        <v>18</v>
      </c>
      <c r="B197" t="s">
        <v>19</v>
      </c>
    </row>
    <row r="198" spans="1:15">
      <c r="A198" t="s">
        <v>20</v>
      </c>
      <c r="B198" t="s">
        <v>21</v>
      </c>
    </row>
    <row r="199" spans="1:15">
      <c r="A199" t="s">
        <v>22</v>
      </c>
      <c r="B199" t="s">
        <v>102</v>
      </c>
    </row>
    <row r="200" spans="1:15">
      <c r="A200" t="s">
        <v>24</v>
      </c>
    </row>
    <row r="201" spans="1:15">
      <c r="A201" t="s">
        <v>9</v>
      </c>
      <c r="B201" t="s">
        <v>25</v>
      </c>
      <c r="C201" t="s">
        <v>17</v>
      </c>
      <c r="D201" t="s">
        <v>20</v>
      </c>
      <c r="E201" t="s">
        <v>26</v>
      </c>
      <c r="F201" t="s">
        <v>27</v>
      </c>
      <c r="G201" t="s">
        <v>15</v>
      </c>
      <c r="H201" t="s">
        <v>18</v>
      </c>
      <c r="I201" t="s">
        <v>22</v>
      </c>
      <c r="J201" t="s">
        <v>28</v>
      </c>
      <c r="K201" t="s">
        <v>29</v>
      </c>
      <c r="L201" t="s">
        <v>30</v>
      </c>
      <c r="M201" t="s">
        <v>31</v>
      </c>
      <c r="N201" t="s">
        <v>32</v>
      </c>
      <c r="O201" t="s">
        <v>33</v>
      </c>
    </row>
    <row r="202" spans="1:15">
      <c r="A202" t="str">
        <f>B192</f>
        <v>dec_tre =&gt; sec_tre__o3</v>
      </c>
      <c r="B202" t="str">
        <f>B189</f>
        <v>secondary treatment</v>
      </c>
      <c r="C202">
        <v>1</v>
      </c>
      <c r="D202" t="str">
        <f>B198</f>
        <v>cubic meter</v>
      </c>
      <c r="E202" t="str">
        <f>$B$2</f>
        <v>paw_NPi_2035</v>
      </c>
      <c r="F202" t="s">
        <v>34</v>
      </c>
      <c r="G202" t="str">
        <f>B195</f>
        <v>Europe without Switzerland</v>
      </c>
      <c r="H202" t="s">
        <v>35</v>
      </c>
      <c r="I202" t="str">
        <f>B199</f>
        <v>wastewater, average</v>
      </c>
      <c r="J202">
        <v>0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</row>
    <row r="203" spans="1:15">
      <c r="A203" t="s">
        <v>36</v>
      </c>
      <c r="B203" t="s">
        <v>95</v>
      </c>
      <c r="C203">
        <v>-1</v>
      </c>
      <c r="D203" t="str">
        <f>B198</f>
        <v>cubic meter</v>
      </c>
      <c r="E203" t="s">
        <v>163</v>
      </c>
      <c r="F203" t="s">
        <v>41</v>
      </c>
      <c r="G203" t="str">
        <f>B195</f>
        <v>Europe without Switzerland</v>
      </c>
      <c r="H203" t="s">
        <v>42</v>
      </c>
      <c r="I203" t="str">
        <f>B199</f>
        <v>wastewater, average</v>
      </c>
      <c r="J203">
        <v>0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</row>
    <row r="205" spans="1:15" s="10" customFormat="1">
      <c r="A205" s="10" t="s">
        <v>8</v>
      </c>
      <c r="B205" s="10" t="s">
        <v>116</v>
      </c>
    </row>
    <row r="206" spans="1:15" s="10" customFormat="1">
      <c r="A206" s="10" t="s">
        <v>156</v>
      </c>
      <c r="B206" s="10" t="s">
        <v>143</v>
      </c>
    </row>
    <row r="207" spans="1:15" s="10" customFormat="1">
      <c r="A207" s="10" t="s">
        <v>128</v>
      </c>
      <c r="B207" s="10" t="s">
        <v>144</v>
      </c>
    </row>
    <row r="208" spans="1:15" s="10" customFormat="1">
      <c r="A208" s="10" t="s">
        <v>147</v>
      </c>
      <c r="B208" s="10" t="s">
        <v>145</v>
      </c>
    </row>
    <row r="209" spans="1:15" s="10" customFormat="1">
      <c r="A209" s="10" t="s">
        <v>148</v>
      </c>
      <c r="B209" s="10" t="s">
        <v>146</v>
      </c>
    </row>
    <row r="210" spans="1:15" s="10" customFormat="1">
      <c r="A210" s="10" t="s">
        <v>154</v>
      </c>
      <c r="B210" s="10" t="s">
        <v>155</v>
      </c>
    </row>
    <row r="211" spans="1:15" s="10" customFormat="1">
      <c r="A211" s="10" t="s">
        <v>162</v>
      </c>
      <c r="B211" s="10" t="s">
        <v>157</v>
      </c>
    </row>
    <row r="212" spans="1:15">
      <c r="A212" t="s">
        <v>15</v>
      </c>
      <c r="B212" t="s">
        <v>16</v>
      </c>
    </row>
    <row r="213" spans="1:15">
      <c r="A213" t="s">
        <v>17</v>
      </c>
      <c r="B213">
        <v>1</v>
      </c>
    </row>
    <row r="214" spans="1:15">
      <c r="A214" t="s">
        <v>18</v>
      </c>
      <c r="B214" t="s">
        <v>19</v>
      </c>
    </row>
    <row r="215" spans="1:15">
      <c r="A215" t="s">
        <v>20</v>
      </c>
      <c r="B215" t="s">
        <v>121</v>
      </c>
    </row>
    <row r="216" spans="1:15">
      <c r="A216" t="s">
        <v>22</v>
      </c>
      <c r="B216" t="s">
        <v>117</v>
      </c>
    </row>
    <row r="217" spans="1:15">
      <c r="A217" t="s">
        <v>24</v>
      </c>
    </row>
    <row r="218" spans="1:15">
      <c r="A218" t="s">
        <v>9</v>
      </c>
      <c r="B218" t="s">
        <v>25</v>
      </c>
      <c r="C218" t="s">
        <v>17</v>
      </c>
      <c r="D218" t="s">
        <v>20</v>
      </c>
      <c r="E218" t="s">
        <v>26</v>
      </c>
      <c r="F218" t="s">
        <v>27</v>
      </c>
      <c r="G218" t="s">
        <v>15</v>
      </c>
      <c r="H218" t="s">
        <v>18</v>
      </c>
      <c r="I218" t="s">
        <v>22</v>
      </c>
      <c r="J218" t="s">
        <v>28</v>
      </c>
      <c r="K218" t="s">
        <v>29</v>
      </c>
      <c r="L218" t="s">
        <v>30</v>
      </c>
      <c r="M218" t="s">
        <v>31</v>
      </c>
      <c r="N218" t="s">
        <v>32</v>
      </c>
      <c r="O218" t="s">
        <v>33</v>
      </c>
    </row>
    <row r="219" spans="1:15">
      <c r="A219" t="str">
        <f>B211</f>
        <v>sldg_trans</v>
      </c>
      <c r="B219" t="str">
        <f>B205</f>
        <v>transport of sludge to incineration</v>
      </c>
      <c r="C219">
        <v>1</v>
      </c>
      <c r="D219" t="str">
        <f>B215</f>
        <v>ton kilometer</v>
      </c>
      <c r="E219" t="str">
        <f>$B$2</f>
        <v>paw_NPi_2035</v>
      </c>
      <c r="F219" t="s">
        <v>34</v>
      </c>
      <c r="G219" t="str">
        <f>B212</f>
        <v>RER</v>
      </c>
      <c r="H219" t="s">
        <v>35</v>
      </c>
      <c r="I219" t="str">
        <f>B216</f>
        <v>transport, freight, lorry, diesel, unspecified</v>
      </c>
      <c r="J219">
        <v>0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</row>
    <row r="220" spans="1:15">
      <c r="A220" t="s">
        <v>36</v>
      </c>
      <c r="B220" t="s">
        <v>119</v>
      </c>
      <c r="C220">
        <v>100</v>
      </c>
      <c r="D220" t="str">
        <f>B215</f>
        <v>ton kilometer</v>
      </c>
      <c r="E220" t="s">
        <v>163</v>
      </c>
      <c r="F220" t="s">
        <v>41</v>
      </c>
      <c r="G220" t="str">
        <f>B212</f>
        <v>RER</v>
      </c>
      <c r="H220" t="s">
        <v>42</v>
      </c>
      <c r="I220" t="s">
        <v>117</v>
      </c>
      <c r="J220">
        <v>0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</row>
    <row r="222" spans="1:15" s="10" customFormat="1">
      <c r="A222" s="10" t="s">
        <v>8</v>
      </c>
      <c r="B222" s="10" t="s">
        <v>118</v>
      </c>
    </row>
    <row r="223" spans="1:15" s="10" customFormat="1">
      <c r="A223" s="10" t="s">
        <v>162</v>
      </c>
      <c r="B223" s="10" t="s">
        <v>158</v>
      </c>
    </row>
    <row r="224" spans="1:15">
      <c r="A224" t="s">
        <v>15</v>
      </c>
      <c r="B224" t="s">
        <v>16</v>
      </c>
    </row>
    <row r="225" spans="1:15">
      <c r="A225" t="s">
        <v>17</v>
      </c>
      <c r="B225">
        <v>1</v>
      </c>
    </row>
    <row r="226" spans="1:15">
      <c r="A226" t="s">
        <v>18</v>
      </c>
      <c r="B226" t="s">
        <v>19</v>
      </c>
    </row>
    <row r="227" spans="1:15">
      <c r="A227" t="s">
        <v>20</v>
      </c>
      <c r="B227" t="s">
        <v>121</v>
      </c>
    </row>
    <row r="228" spans="1:15">
      <c r="A228" t="s">
        <v>22</v>
      </c>
      <c r="B228" t="s">
        <v>117</v>
      </c>
    </row>
    <row r="229" spans="1:15">
      <c r="A229" t="s">
        <v>24</v>
      </c>
    </row>
    <row r="230" spans="1:15">
      <c r="A230" t="s">
        <v>9</v>
      </c>
      <c r="B230" t="s">
        <v>25</v>
      </c>
      <c r="C230" t="s">
        <v>17</v>
      </c>
      <c r="D230" t="s">
        <v>20</v>
      </c>
      <c r="E230" t="s">
        <v>26</v>
      </c>
      <c r="F230" t="s">
        <v>27</v>
      </c>
      <c r="G230" t="s">
        <v>15</v>
      </c>
      <c r="H230" t="s">
        <v>18</v>
      </c>
      <c r="I230" t="s">
        <v>22</v>
      </c>
      <c r="J230" t="s">
        <v>28</v>
      </c>
      <c r="K230" t="s">
        <v>29</v>
      </c>
      <c r="L230" t="s">
        <v>30</v>
      </c>
      <c r="M230" t="s">
        <v>31</v>
      </c>
      <c r="N230" t="s">
        <v>32</v>
      </c>
      <c r="O230" t="s">
        <v>33</v>
      </c>
    </row>
    <row r="231" spans="1:15">
      <c r="A231" t="str">
        <f>B223</f>
        <v>fer =&gt; soi</v>
      </c>
      <c r="B231" t="str">
        <f>B222</f>
        <v>transport of fertilizer to soil</v>
      </c>
      <c r="C231">
        <v>1</v>
      </c>
      <c r="D231" t="str">
        <f>B227</f>
        <v>ton kilometer</v>
      </c>
      <c r="E231" t="str">
        <f>$B$2</f>
        <v>paw_NPi_2035</v>
      </c>
      <c r="F231" t="s">
        <v>34</v>
      </c>
      <c r="G231" t="str">
        <f>B224</f>
        <v>RER</v>
      </c>
      <c r="H231" t="s">
        <v>35</v>
      </c>
      <c r="I231" t="str">
        <f>B228</f>
        <v>transport, freight, lorry, diesel, unspecified</v>
      </c>
      <c r="J231">
        <v>0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</row>
    <row r="232" spans="1:15">
      <c r="A232" t="s">
        <v>36</v>
      </c>
      <c r="B232" t="s">
        <v>119</v>
      </c>
      <c r="C232">
        <v>20</v>
      </c>
      <c r="D232" t="str">
        <f>B227</f>
        <v>ton kilometer</v>
      </c>
      <c r="E232" t="s">
        <v>163</v>
      </c>
      <c r="F232" t="s">
        <v>41</v>
      </c>
      <c r="G232" t="str">
        <f>B224</f>
        <v>RER</v>
      </c>
      <c r="H232" t="s">
        <v>42</v>
      </c>
      <c r="I232" t="s">
        <v>117</v>
      </c>
      <c r="J232">
        <v>0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</row>
    <row r="234" spans="1:15">
      <c r="A234" s="10" t="s">
        <v>8</v>
      </c>
      <c r="B234" s="10" t="s">
        <v>129</v>
      </c>
    </row>
    <row r="235" spans="1:15">
      <c r="A235" s="10" t="s">
        <v>128</v>
      </c>
      <c r="B235" s="10" t="s">
        <v>161</v>
      </c>
    </row>
    <row r="236" spans="1:15">
      <c r="A236" s="10" t="s">
        <v>162</v>
      </c>
      <c r="B236" s="10" t="s">
        <v>159</v>
      </c>
    </row>
    <row r="237" spans="1:15">
      <c r="A237" t="s">
        <v>15</v>
      </c>
      <c r="B237" t="s">
        <v>16</v>
      </c>
    </row>
    <row r="238" spans="1:15">
      <c r="A238" t="s">
        <v>17</v>
      </c>
      <c r="B238">
        <v>1</v>
      </c>
    </row>
    <row r="239" spans="1:15">
      <c r="A239" t="s">
        <v>18</v>
      </c>
      <c r="B239" t="s">
        <v>19</v>
      </c>
    </row>
    <row r="240" spans="1:15">
      <c r="A240" t="s">
        <v>20</v>
      </c>
      <c r="B240" t="s">
        <v>48</v>
      </c>
    </row>
    <row r="241" spans="1:15">
      <c r="A241" t="s">
        <v>22</v>
      </c>
      <c r="B241" t="s">
        <v>134</v>
      </c>
    </row>
    <row r="242" spans="1:15">
      <c r="A242" t="s">
        <v>24</v>
      </c>
    </row>
    <row r="243" spans="1:15">
      <c r="A243" t="s">
        <v>9</v>
      </c>
      <c r="B243" t="s">
        <v>25</v>
      </c>
      <c r="C243" t="s">
        <v>17</v>
      </c>
      <c r="D243" t="s">
        <v>20</v>
      </c>
      <c r="E243" t="s">
        <v>26</v>
      </c>
      <c r="F243" t="s">
        <v>27</v>
      </c>
      <c r="G243" t="s">
        <v>15</v>
      </c>
      <c r="H243" t="s">
        <v>18</v>
      </c>
      <c r="I243" t="s">
        <v>22</v>
      </c>
      <c r="J243" t="s">
        <v>28</v>
      </c>
      <c r="K243" t="s">
        <v>29</v>
      </c>
      <c r="L243" t="s">
        <v>30</v>
      </c>
      <c r="M243" t="s">
        <v>31</v>
      </c>
      <c r="N243" t="s">
        <v>32</v>
      </c>
      <c r="O243" t="s">
        <v>33</v>
      </c>
    </row>
    <row r="244" spans="1:15">
      <c r="A244" t="s">
        <v>130</v>
      </c>
      <c r="B244" t="str">
        <f>B234</f>
        <v>BPA to soil</v>
      </c>
      <c r="C244">
        <v>1</v>
      </c>
      <c r="D244" t="s">
        <v>48</v>
      </c>
      <c r="E244" t="str">
        <f>B2</f>
        <v>paw_NPi_2035</v>
      </c>
      <c r="F244" t="s">
        <v>34</v>
      </c>
      <c r="G244" t="s">
        <v>16</v>
      </c>
      <c r="H244" t="s">
        <v>35</v>
      </c>
      <c r="I244" t="str">
        <f>B241</f>
        <v>bpa to soil</v>
      </c>
      <c r="J244">
        <v>0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</row>
    <row r="245" spans="1:15">
      <c r="B245" t="s">
        <v>132</v>
      </c>
      <c r="C245">
        <v>1</v>
      </c>
      <c r="D245" t="s">
        <v>48</v>
      </c>
      <c r="E245" t="s">
        <v>120</v>
      </c>
      <c r="F245" t="s">
        <v>133</v>
      </c>
      <c r="H245" t="s">
        <v>74</v>
      </c>
    </row>
    <row r="247" spans="1:15">
      <c r="A247" s="10" t="s">
        <v>8</v>
      </c>
      <c r="B247" s="10" t="s">
        <v>135</v>
      </c>
    </row>
    <row r="248" spans="1:15">
      <c r="A248" s="10" t="s">
        <v>162</v>
      </c>
      <c r="B248" s="10" t="s">
        <v>160</v>
      </c>
    </row>
    <row r="249" spans="1:15">
      <c r="A249" t="s">
        <v>15</v>
      </c>
      <c r="B249" t="s">
        <v>16</v>
      </c>
    </row>
    <row r="250" spans="1:15">
      <c r="A250" t="s">
        <v>17</v>
      </c>
      <c r="B250">
        <v>1</v>
      </c>
    </row>
    <row r="251" spans="1:15">
      <c r="A251" t="s">
        <v>18</v>
      </c>
      <c r="B251" t="s">
        <v>19</v>
      </c>
    </row>
    <row r="252" spans="1:15">
      <c r="A252" t="s">
        <v>20</v>
      </c>
      <c r="B252" t="s">
        <v>48</v>
      </c>
    </row>
    <row r="253" spans="1:15">
      <c r="A253" t="s">
        <v>22</v>
      </c>
      <c r="B253" t="s">
        <v>136</v>
      </c>
    </row>
    <row r="254" spans="1:15">
      <c r="A254" t="s">
        <v>24</v>
      </c>
    </row>
    <row r="255" spans="1:15">
      <c r="A255" t="s">
        <v>9</v>
      </c>
      <c r="B255" t="s">
        <v>25</v>
      </c>
      <c r="C255" t="s">
        <v>17</v>
      </c>
      <c r="D255" t="s">
        <v>20</v>
      </c>
      <c r="E255" t="s">
        <v>26</v>
      </c>
      <c r="F255" t="s">
        <v>27</v>
      </c>
      <c r="G255" t="s">
        <v>15</v>
      </c>
      <c r="H255" t="s">
        <v>18</v>
      </c>
      <c r="I255" t="s">
        <v>22</v>
      </c>
      <c r="J255" t="s">
        <v>28</v>
      </c>
      <c r="K255" t="s">
        <v>29</v>
      </c>
      <c r="L255" t="s">
        <v>30</v>
      </c>
      <c r="M255" t="s">
        <v>31</v>
      </c>
      <c r="N255" t="s">
        <v>32</v>
      </c>
      <c r="O255" t="s">
        <v>33</v>
      </c>
    </row>
    <row r="256" spans="1:15">
      <c r="A256" t="s">
        <v>130</v>
      </c>
      <c r="B256" t="str">
        <f>B247</f>
        <v>BPA to water</v>
      </c>
      <c r="C256">
        <v>1</v>
      </c>
      <c r="D256" t="s">
        <v>48</v>
      </c>
      <c r="E256" t="str">
        <f>B2</f>
        <v>paw_NPi_2035</v>
      </c>
      <c r="F256" t="s">
        <v>34</v>
      </c>
      <c r="G256" t="s">
        <v>16</v>
      </c>
      <c r="H256" t="s">
        <v>35</v>
      </c>
      <c r="I256" t="str">
        <f>B253</f>
        <v>bpa to water</v>
      </c>
      <c r="J256">
        <v>0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</row>
    <row r="257" spans="2:8">
      <c r="B257" t="s">
        <v>132</v>
      </c>
      <c r="C257">
        <v>1</v>
      </c>
      <c r="D257" t="s">
        <v>48</v>
      </c>
      <c r="E257" t="s">
        <v>120</v>
      </c>
      <c r="F257" t="s">
        <v>131</v>
      </c>
      <c r="H257" t="s">
        <v>74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Directory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GRUENER SABRINA SONJA</dc:creator>
  <cp:lastModifiedBy>Matthias Martin Welker</cp:lastModifiedBy>
  <dcterms:created xsi:type="dcterms:W3CDTF">2025-11-12T08:25:47Z</dcterms:created>
  <dcterms:modified xsi:type="dcterms:W3CDTF">2025-11-14T09:38:10Z</dcterms:modified>
</cp:coreProperties>
</file>