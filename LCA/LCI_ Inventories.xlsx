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elkerm\cursor\PAW_MFA_LCA_2025\LCA\"/>
    </mc:Choice>
  </mc:AlternateContent>
  <xr:revisionPtr revIDLastSave="0" documentId="13_ncr:1_{EE5AC587-669D-4D85-9D33-645B4FCFB429}" xr6:coauthVersionLast="36" xr6:coauthVersionMax="47" xr10:uidLastSave="{00000000-0000-0000-0000-000000000000}"/>
  <bookViews>
    <workbookView xWindow="30240" yWindow="-1500" windowWidth="38400" windowHeight="21600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8" i="1" l="1"/>
  <c r="I168" i="1" l="1"/>
  <c r="B168" i="1"/>
  <c r="G152" i="1"/>
  <c r="I256" i="1" l="1"/>
  <c r="B256" i="1"/>
  <c r="I244" i="1"/>
  <c r="B244" i="1"/>
  <c r="B151" i="1" l="1"/>
  <c r="I152" i="1"/>
  <c r="H152" i="1"/>
  <c r="D152" i="1"/>
  <c r="B152" i="1"/>
  <c r="I150" i="1"/>
  <c r="I151" i="1"/>
  <c r="G151" i="1"/>
  <c r="D151" i="1"/>
  <c r="G150" i="1"/>
  <c r="E150" i="1"/>
  <c r="E151" i="1" s="1"/>
  <c r="E152" i="1" s="1"/>
  <c r="D150" i="1"/>
  <c r="B150" i="1"/>
  <c r="A150" i="1"/>
  <c r="I105" i="1"/>
  <c r="G105" i="1"/>
  <c r="D105" i="1"/>
  <c r="B105" i="1"/>
  <c r="G104" i="1"/>
  <c r="I104" i="1"/>
  <c r="D104" i="1"/>
  <c r="B104" i="1"/>
  <c r="I103" i="1"/>
  <c r="G103" i="1"/>
  <c r="D103" i="1"/>
  <c r="B103" i="1"/>
  <c r="I102" i="1"/>
  <c r="G102" i="1"/>
  <c r="D102" i="1"/>
  <c r="B102" i="1"/>
  <c r="I101" i="1" l="1"/>
  <c r="G101" i="1"/>
  <c r="E101" i="1"/>
  <c r="E102" i="1" s="1"/>
  <c r="E103" i="1" s="1"/>
  <c r="E104" i="1" s="1"/>
  <c r="E105" i="1" s="1"/>
  <c r="D101" i="1"/>
  <c r="B101" i="1"/>
  <c r="A101" i="1"/>
  <c r="D231" i="1"/>
  <c r="D232" i="1"/>
  <c r="E18" i="1"/>
  <c r="E34" i="1"/>
  <c r="E51" i="1"/>
  <c r="E84" i="1"/>
  <c r="E120" i="1"/>
  <c r="E136" i="1"/>
  <c r="E168" i="1"/>
  <c r="E202" i="1"/>
  <c r="E231" i="1"/>
  <c r="E219" i="1"/>
  <c r="G232" i="1"/>
  <c r="D220" i="1"/>
  <c r="I231" i="1"/>
  <c r="G231" i="1"/>
  <c r="B231" i="1"/>
  <c r="A231" i="1"/>
  <c r="D219" i="1"/>
  <c r="B219" i="1"/>
  <c r="G220" i="1"/>
  <c r="I219" i="1" l="1"/>
  <c r="G219" i="1"/>
  <c r="A219" i="1"/>
  <c r="I203" i="1"/>
  <c r="I202" i="1"/>
  <c r="G203" i="1"/>
  <c r="G202" i="1"/>
  <c r="D203" i="1"/>
  <c r="I186" i="1"/>
  <c r="D202" i="1"/>
  <c r="B202" i="1"/>
  <c r="A202" i="1"/>
  <c r="G187" i="1"/>
  <c r="G186" i="1"/>
  <c r="E186" i="1"/>
  <c r="D186" i="1"/>
  <c r="D187" i="1" s="1"/>
  <c r="B186" i="1"/>
  <c r="A186" i="1"/>
</calcChain>
</file>

<file path=xl/sharedStrings.xml><?xml version="1.0" encoding="utf-8"?>
<sst xmlns="http://schemas.openxmlformats.org/spreadsheetml/2006/main" count="1164" uniqueCount="164">
  <si>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</si>
  <si>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</si>
  <si>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</si>
  <si>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</si>
  <si>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</si>
  <si>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</si>
  <si>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</si>
  <si>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</si>
  <si>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</si>
  <si>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</si>
  <si>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</si>
  <si>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</si>
  <si>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</si>
  <si>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</si>
  <si>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</si>
  <si>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</si>
  <si>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</si>
  <si>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</si>
  <si>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</si>
  <si>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</si>
  <si>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</si>
  <si>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</si>
  <si>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</si>
  <si>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</si>
  <si>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</si>
  <si>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</si>
  <si>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</si>
  <si>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</si>
  <si>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</si>
  <si>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</si>
  <si>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</si>
  <si>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</si>
  <si>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</si>
  <si>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</si>
  <si>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</si>
  <si>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</si>
  <si>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</si>
  <si>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</si>
  <si>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</si>
  <si>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</si>
  <si>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</si>
  <si>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</si>
  <si>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</si>
  <si>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</si>
  <si>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</si>
  <si>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</si>
  <si>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</si>
  <si>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</si>
  <si>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</si>
  <si>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</si>
  <si>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</si>
  <si>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</si>
  <si>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</si>
  <si>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</si>
  <si>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</si>
  <si>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</si>
  <si>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</si>
  <si>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</si>
  <si>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</si>
  <si>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</si>
  <si>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</si>
  <si>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</si>
  <si>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</si>
  <si>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</si>
  <si>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</si>
  <si>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</si>
  <si>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</si>
  <si>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</si>
  <si>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</si>
  <si>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</si>
  <si>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</si>
  <si>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</si>
  <si>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</si>
  <si>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</si>
  <si>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</si>
  <si>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</si>
  <si>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</si>
  <si>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</si>
  <si>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</si>
  <si>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</si>
  <si>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</si>
  <si>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</si>
  <si>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</si>
  <si>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</si>
  <si>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</si>
  <si>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</si>
  <si>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</si>
  <si>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</si>
  <si>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</si>
  <si>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</si>
  <si>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</si>
  <si>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</si>
  <si>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</si>
  <si>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</si>
  <si>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</si>
  <si>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</si>
  <si>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</si>
  <si>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</si>
  <si>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</si>
  <si>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</si>
  <si>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</si>
  <si>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</si>
  <si>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</si>
  <si>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</si>
  <si>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</si>
  <si>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</si>
  <si>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</si>
  <si>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</si>
  <si>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</si>
  <si>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</si>
  <si>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</si>
  <si>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</si>
  <si>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</si>
  <si>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</si>
  <si>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</si>
  <si>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</si>
  <si>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</si>
  <si>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</si>
  <si>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</si>
  <si>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</si>
  <si>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</si>
  <si>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ecoinvent-3.11-cutoff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</si>
  <si>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</si>
  <si>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</si>
  <si>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</si>
  <si>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</si>
  <si>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</si>
  <si>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</si>
  <si>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</si>
  <si>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</si>
  <si>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code2</t>
  </si>
  <si>
    <t>BPA to soil</t>
  </si>
  <si>
    <t>sldg_sep_fer</t>
  </si>
  <si>
    <t>water</t>
  </si>
  <si>
    <t>Bisphenol A</t>
  </si>
  <si>
    <t>soil</t>
  </si>
  <si>
    <t>bpa to soil</t>
  </si>
  <si>
    <t>BPA to water</t>
  </si>
  <si>
    <t>bpa to water</t>
  </si>
  <si>
    <t>sec_tre =&gt; qua_tre__o3</t>
  </si>
  <si>
    <t>ind_ww =&gt; dec_tre__o3</t>
  </si>
  <si>
    <t>ind_ww =&gt; dec_tre__aop</t>
  </si>
  <si>
    <t>sec_tre =&gt; qua_tre__aop</t>
  </si>
  <si>
    <t>sec_tre =&gt; qua_tre__gac</t>
  </si>
  <si>
    <t>ind_ww =&gt; dec_tre__gac</t>
  </si>
  <si>
    <t>qua_tre =&gt; inc__nof</t>
  </si>
  <si>
    <t>qua_tre =&gt; inc__aop</t>
  </si>
  <si>
    <t>qua_tre =&gt; inc__o3</t>
  </si>
  <si>
    <t>qua_tre =&gt; inc__gac</t>
  </si>
  <si>
    <t>code3</t>
  </si>
  <si>
    <t>code4</t>
  </si>
  <si>
    <t>dec_tre =&gt; sec_tre__aop</t>
  </si>
  <si>
    <t>dec_tre =&gt; sec_tre__nof</t>
  </si>
  <si>
    <t>dec_tre =&gt; sec_tre__o3</t>
  </si>
  <si>
    <t>dec_tre =&gt; sec_tre__gac</t>
  </si>
  <si>
    <t>dom_ww =&gt; sec_tre</t>
  </si>
  <si>
    <t>code5</t>
  </si>
  <si>
    <t>sldg_sep =&gt; inc</t>
  </si>
  <si>
    <t>code6</t>
  </si>
  <si>
    <t>sldg_trans</t>
  </si>
  <si>
    <t>fer =&gt; soi</t>
  </si>
  <si>
    <t>sldg_sep =&gt; fer</t>
  </si>
  <si>
    <t>wtr_dis =&gt; riv__cec</t>
  </si>
  <si>
    <t>wtr_dis =&gt; irr__cec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</si>
</sst>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baseColWidth="10" defaultColWidth="8.875" defaultRowHeight="14.25"/>
  <sheetData>
    <row r="1" spans="1:2">
      <c r="A1" t="s">
        <v>7</v>
      </c>
    </row>
    <row r="4" spans="1:2" ht="15">
      <c r="A4" s="6">
        <v>230</v>
      </c>
      <c r="B4" t="s">
        <v>4</v>
      </c>
    </row>
    <row r="5" spans="1:2" ht="15">
      <c r="A5" s="8">
        <v>102</v>
      </c>
      <c r="B5" t="s">
        <v>5</v>
      </c>
    </row>
    <row r="6" spans="1:2" ht="15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57"/>
  <sheetViews>
    <sheetView tabSelected="1" topLeftCell="A228" zoomScale="173" zoomScaleNormal="100" workbookViewId="0">
      <selection activeCell="B241" sqref="B241"/>
    </sheetView>
  </sheetViews>
  <sheetFormatPr baseColWidth="10" defaultColWidth="8.875" defaultRowHeight="14.25"/>
  <cols>
    <col min="1" max="1" width="26.125" customWidth="1"/>
    <col min="2" max="2" width="34" customWidth="1"/>
    <col min="8" max="8" width="15.125" customWidth="1"/>
    <col min="9" max="9" width="21.125" customWidth="1"/>
  </cols>
  <sheetData>
    <row r="1" spans="1:2">
      <c r="A1" t="s">
        <v>3</v>
      </c>
      <c r="B1" s="1">
        <v>11</v>
      </c>
    </row>
    <row r="2" spans="1:2" s="4" customFormat="1" ht="15">
      <c r="A2" s="2" t="s">
        <v>0</v>
      </c>
      <c r="B2" s="3" t="s">
        <v>120</v>
      </c>
    </row>
    <row r="3" spans="1:2">
      <c r="A3" s="5" t="s">
        <v>1</v>
      </c>
      <c r="B3" s="5" t="s">
        <v>2</v>
      </c>
    </row>
    <row r="5" spans="1:2">
      <c r="A5" s="4" t="s">
        <v>8</v>
      </c>
      <c r="B5" s="4" t="s">
        <v>37</v>
      </c>
    </row>
    <row r="6" spans="1:2">
      <c r="A6" t="s">
        <v>9</v>
      </c>
      <c r="B6" t="s">
        <v>38</v>
      </c>
    </row>
    <row r="7" spans="1:2">
      <c r="A7" t="s">
        <v>10</v>
      </c>
      <c r="B7" t="s">
        <v>39</v>
      </c>
    </row>
    <row r="8" spans="1:2">
      <c r="A8" t="s">
        <v>11</v>
      </c>
      <c r="B8">
        <v>230</v>
      </c>
    </row>
    <row r="9" spans="1:2">
      <c r="A9" t="s">
        <v>12</v>
      </c>
      <c r="B9" t="s">
        <v>13</v>
      </c>
    </row>
    <row r="10" spans="1:2">
      <c r="A10" t="s">
        <v>14</v>
      </c>
      <c r="B10" t="s">
        <v>4</v>
      </c>
    </row>
    <row r="11" spans="1:2">
      <c r="A11" t="s">
        <v>15</v>
      </c>
      <c r="B11" t="s">
        <v>16</v>
      </c>
    </row>
    <row r="12" spans="1:2">
      <c r="A12" t="s">
        <v>17</v>
      </c>
      <c r="B12">
        <v>1</v>
      </c>
    </row>
    <row r="13" spans="1:2">
      <c r="A13" t="s">
        <v>18</v>
      </c>
      <c r="B13" t="s">
        <v>19</v>
      </c>
    </row>
    <row r="14" spans="1:2">
      <c r="A14" t="s">
        <v>20</v>
      </c>
      <c r="B14" t="s">
        <v>21</v>
      </c>
    </row>
    <row r="15" spans="1:2">
      <c r="A15" t="s">
        <v>22</v>
      </c>
      <c r="B15" t="s">
        <v>23</v>
      </c>
    </row>
    <row r="16" spans="1:2">
      <c r="A16" t="s">
        <v>24</v>
      </c>
    </row>
    <row r="17" spans="1:15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>
      <c r="A19" t="s">
        <v>36</v>
      </c>
      <c r="B19" t="s">
        <v>129</v>
      </c>
      <c r="C19">
        <v>0.23100000000000001</v>
      </c>
      <c r="D19" t="s">
        <v>40</v>
      </c>
      <c r="E19" t="s">
        <v>121</v>
      </c>
      <c r="F19" t="s">
        <v>41</v>
      </c>
      <c r="G19" t="s">
        <v>125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>
      <c r="A21" s="4" t="s">
        <v>8</v>
      </c>
      <c r="B21" s="4" t="s">
        <v>44</v>
      </c>
    </row>
    <row r="22" spans="1:15">
      <c r="A22" t="s">
        <v>9</v>
      </c>
      <c r="B22" t="s">
        <v>45</v>
      </c>
    </row>
    <row r="23" spans="1:15">
      <c r="A23" t="s">
        <v>10</v>
      </c>
      <c r="B23" t="s">
        <v>39</v>
      </c>
    </row>
    <row r="24" spans="1:15">
      <c r="A24" t="s">
        <v>11</v>
      </c>
      <c r="B24">
        <v>230</v>
      </c>
    </row>
    <row r="25" spans="1:15">
      <c r="A25" t="s">
        <v>12</v>
      </c>
      <c r="B25" t="s">
        <v>13</v>
      </c>
    </row>
    <row r="26" spans="1:15">
      <c r="A26" t="s">
        <v>14</v>
      </c>
      <c r="B26" t="s">
        <v>4</v>
      </c>
    </row>
    <row r="27" spans="1:15">
      <c r="A27" t="s">
        <v>15</v>
      </c>
      <c r="B27" t="s">
        <v>16</v>
      </c>
    </row>
    <row r="28" spans="1:15">
      <c r="A28" t="s">
        <v>17</v>
      </c>
      <c r="B28">
        <v>1</v>
      </c>
    </row>
    <row r="29" spans="1:15">
      <c r="A29" t="s">
        <v>18</v>
      </c>
      <c r="B29" t="s">
        <v>19</v>
      </c>
    </row>
    <row r="30" spans="1:15">
      <c r="A30" t="s">
        <v>20</v>
      </c>
      <c r="B30" t="s">
        <v>21</v>
      </c>
    </row>
    <row r="31" spans="1:15">
      <c r="A31" t="s">
        <v>22</v>
      </c>
      <c r="B31" t="s">
        <v>46</v>
      </c>
    </row>
    <row r="32" spans="1:15">
      <c r="A32" t="s">
        <v>24</v>
      </c>
    </row>
    <row r="33" spans="1:15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>
      <c r="A34" t="s">
        <v>45</v>
      </c>
      <c r="B34" t="s">
        <v>44</v>
      </c>
      <c r="C34">
        <v>1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>
      <c r="A35" t="s">
        <v>36</v>
      </c>
      <c r="B35" t="s">
        <v>47</v>
      </c>
      <c r="C35">
        <v>0</v>
      </c>
      <c r="D35" t="s">
        <v>48</v>
      </c>
      <c r="E35" t="s">
        <v>121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>
      <c r="A36" t="s">
        <v>36</v>
      </c>
      <c r="B36" t="s">
        <v>50</v>
      </c>
      <c r="C36">
        <v>1.4999999999999999E-2</v>
      </c>
      <c r="D36" t="s">
        <v>48</v>
      </c>
      <c r="E36" t="s">
        <v>121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>
      <c r="A38" s="4" t="s">
        <v>8</v>
      </c>
      <c r="B38" s="4" t="s">
        <v>52</v>
      </c>
    </row>
    <row r="39" spans="1:15">
      <c r="A39" t="s">
        <v>9</v>
      </c>
      <c r="B39" t="s">
        <v>53</v>
      </c>
    </row>
    <row r="40" spans="1:15">
      <c r="A40" t="s">
        <v>10</v>
      </c>
      <c r="B40" t="s">
        <v>39</v>
      </c>
    </row>
    <row r="41" spans="1:15">
      <c r="A41" t="s">
        <v>11</v>
      </c>
      <c r="B41">
        <v>230</v>
      </c>
    </row>
    <row r="42" spans="1:15">
      <c r="A42" t="s">
        <v>12</v>
      </c>
      <c r="B42" t="s">
        <v>13</v>
      </c>
    </row>
    <row r="43" spans="1:15">
      <c r="A43" t="s">
        <v>14</v>
      </c>
      <c r="B43" t="s">
        <v>4</v>
      </c>
    </row>
    <row r="44" spans="1:15">
      <c r="A44" t="s">
        <v>15</v>
      </c>
      <c r="B44" t="s">
        <v>16</v>
      </c>
    </row>
    <row r="45" spans="1:15">
      <c r="A45" t="s">
        <v>17</v>
      </c>
      <c r="B45">
        <v>1</v>
      </c>
    </row>
    <row r="46" spans="1:15">
      <c r="A46" t="s">
        <v>18</v>
      </c>
      <c r="B46" t="s">
        <v>19</v>
      </c>
    </row>
    <row r="47" spans="1:15">
      <c r="A47" t="s">
        <v>20</v>
      </c>
      <c r="B47" t="s">
        <v>21</v>
      </c>
    </row>
    <row r="48" spans="1:15">
      <c r="A48" t="s">
        <v>22</v>
      </c>
      <c r="B48" t="s">
        <v>54</v>
      </c>
    </row>
    <row r="49" spans="1:15">
      <c r="A49" t="s">
        <v>24</v>
      </c>
    </row>
    <row r="50" spans="1:15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>
      <c r="A51" t="s">
        <v>53</v>
      </c>
      <c r="B51" t="s">
        <v>52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>
      <c r="A52" t="s">
        <v>36</v>
      </c>
      <c r="B52" t="s">
        <v>55</v>
      </c>
      <c r="C52">
        <v>0</v>
      </c>
      <c r="D52" t="s">
        <v>48</v>
      </c>
      <c r="E52" t="s">
        <v>121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>
      <c r="A53" t="s">
        <v>36</v>
      </c>
      <c r="B53" t="s">
        <v>57</v>
      </c>
      <c r="C53">
        <v>0</v>
      </c>
      <c r="D53" t="s">
        <v>48</v>
      </c>
      <c r="E53" t="s">
        <v>121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>
      <c r="A54" t="s">
        <v>36</v>
      </c>
      <c r="B54" t="s">
        <v>59</v>
      </c>
      <c r="C54">
        <v>0</v>
      </c>
      <c r="D54" t="s">
        <v>48</v>
      </c>
      <c r="E54" t="s">
        <v>121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>
      <c r="A55" t="s">
        <v>36</v>
      </c>
      <c r="B55" t="s">
        <v>61</v>
      </c>
      <c r="C55">
        <v>0</v>
      </c>
      <c r="D55" t="s">
        <v>48</v>
      </c>
      <c r="E55" t="s">
        <v>121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>
      <c r="A56" t="s">
        <v>36</v>
      </c>
      <c r="B56" t="s">
        <v>63</v>
      </c>
      <c r="C56">
        <v>0</v>
      </c>
      <c r="D56" t="s">
        <v>48</v>
      </c>
      <c r="E56" t="s">
        <v>121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>
      <c r="A57" t="s">
        <v>36</v>
      </c>
      <c r="B57" t="s">
        <v>65</v>
      </c>
      <c r="C57">
        <v>0</v>
      </c>
      <c r="D57" t="s">
        <v>48</v>
      </c>
      <c r="E57" t="s">
        <v>121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>
      <c r="A58" t="s">
        <v>36</v>
      </c>
      <c r="B58" t="s">
        <v>67</v>
      </c>
      <c r="C58">
        <v>0</v>
      </c>
      <c r="D58" t="s">
        <v>48</v>
      </c>
      <c r="E58" t="s">
        <v>121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>
      <c r="A59" t="s">
        <v>36</v>
      </c>
      <c r="B59" t="s">
        <v>69</v>
      </c>
      <c r="C59">
        <v>0</v>
      </c>
      <c r="D59" t="s">
        <v>48</v>
      </c>
      <c r="E59" t="s">
        <v>121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>
      <c r="A60" t="s">
        <v>36</v>
      </c>
      <c r="B60" t="s">
        <v>71</v>
      </c>
      <c r="C60">
        <v>0</v>
      </c>
      <c r="D60" t="s">
        <v>48</v>
      </c>
      <c r="E60" t="s">
        <v>121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>
      <c r="A61" t="s">
        <v>36</v>
      </c>
      <c r="B61" t="s">
        <v>75</v>
      </c>
      <c r="C61">
        <v>0</v>
      </c>
      <c r="D61" t="s">
        <v>48</v>
      </c>
      <c r="E61" t="s">
        <v>121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>
      <c r="A62" t="s">
        <v>36</v>
      </c>
      <c r="B62" t="s">
        <v>77</v>
      </c>
      <c r="C62">
        <v>0</v>
      </c>
      <c r="D62" t="s">
        <v>48</v>
      </c>
      <c r="E62" t="s">
        <v>121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>
      <c r="A63" t="s">
        <v>36</v>
      </c>
      <c r="B63" t="s">
        <v>79</v>
      </c>
      <c r="C63">
        <v>6.2700000000000006E-2</v>
      </c>
      <c r="D63" t="s">
        <v>48</v>
      </c>
      <c r="E63" t="s">
        <v>121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>
      <c r="A64" t="s">
        <v>36</v>
      </c>
      <c r="B64" t="s">
        <v>82</v>
      </c>
      <c r="C64">
        <v>3.0000000000000001E-3</v>
      </c>
      <c r="D64" t="s">
        <v>48</v>
      </c>
      <c r="E64" t="s">
        <v>121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>
      <c r="A65" t="s">
        <v>36</v>
      </c>
      <c r="B65" t="s">
        <v>84</v>
      </c>
      <c r="C65">
        <v>0.06</v>
      </c>
      <c r="D65" t="s">
        <v>48</v>
      </c>
      <c r="E65" t="s">
        <v>121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>
      <c r="A66" t="s">
        <v>36</v>
      </c>
      <c r="B66" t="s">
        <v>55</v>
      </c>
      <c r="C66">
        <v>0</v>
      </c>
      <c r="D66" t="s">
        <v>48</v>
      </c>
      <c r="E66" t="s">
        <v>121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>
      <c r="A67" t="s">
        <v>36</v>
      </c>
      <c r="B67" t="s">
        <v>86</v>
      </c>
      <c r="C67">
        <v>0</v>
      </c>
      <c r="D67" t="s">
        <v>48</v>
      </c>
      <c r="E67" t="s">
        <v>121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>
      <c r="A68" t="s">
        <v>36</v>
      </c>
      <c r="B68" t="s">
        <v>88</v>
      </c>
      <c r="C68">
        <v>5.0000000000000001E-4</v>
      </c>
      <c r="D68" t="s">
        <v>48</v>
      </c>
      <c r="E68" t="s">
        <v>121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>
      <c r="A69" t="s">
        <v>36</v>
      </c>
      <c r="B69" t="s">
        <v>90</v>
      </c>
      <c r="C69">
        <v>0</v>
      </c>
      <c r="D69" t="s">
        <v>48</v>
      </c>
      <c r="E69" t="s">
        <v>121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>
      <c r="A71" s="4" t="s">
        <v>8</v>
      </c>
      <c r="B71" s="4" t="s">
        <v>97</v>
      </c>
    </row>
    <row r="72" spans="1:15">
      <c r="A72" t="s">
        <v>9</v>
      </c>
      <c r="B72" t="s">
        <v>98</v>
      </c>
    </row>
    <row r="73" spans="1:15">
      <c r="A73" t="s">
        <v>10</v>
      </c>
      <c r="B73" t="s">
        <v>39</v>
      </c>
    </row>
    <row r="74" spans="1:15">
      <c r="A74" t="s">
        <v>11</v>
      </c>
      <c r="B74">
        <v>230</v>
      </c>
    </row>
    <row r="75" spans="1:15">
      <c r="A75" t="s">
        <v>12</v>
      </c>
      <c r="B75" t="s">
        <v>13</v>
      </c>
    </row>
    <row r="76" spans="1:15">
      <c r="A76" t="s">
        <v>14</v>
      </c>
      <c r="B76" t="s">
        <v>4</v>
      </c>
    </row>
    <row r="77" spans="1:15">
      <c r="A77" t="s">
        <v>15</v>
      </c>
      <c r="B77" t="s">
        <v>16</v>
      </c>
    </row>
    <row r="78" spans="1:15">
      <c r="A78" t="s">
        <v>17</v>
      </c>
      <c r="B78">
        <v>1</v>
      </c>
    </row>
    <row r="79" spans="1:15">
      <c r="A79" t="s">
        <v>18</v>
      </c>
      <c r="B79" t="s">
        <v>19</v>
      </c>
    </row>
    <row r="80" spans="1:15">
      <c r="A80" t="s">
        <v>20</v>
      </c>
      <c r="B80" t="s">
        <v>21</v>
      </c>
    </row>
    <row r="81" spans="1:15">
      <c r="A81" t="s">
        <v>22</v>
      </c>
      <c r="B81" t="s">
        <v>92</v>
      </c>
    </row>
    <row r="82" spans="1:15">
      <c r="A82" t="s">
        <v>24</v>
      </c>
    </row>
    <row r="83" spans="1:15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>
      <c r="A84" t="s">
        <v>98</v>
      </c>
      <c r="B84" t="s">
        <v>97</v>
      </c>
      <c r="C84">
        <v>1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>
      <c r="A85" t="s">
        <v>36</v>
      </c>
      <c r="B85" t="s">
        <v>93</v>
      </c>
      <c r="C85">
        <v>5.0499999999999998E-3</v>
      </c>
      <c r="D85" t="s">
        <v>48</v>
      </c>
      <c r="E85" t="s">
        <v>122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>
      <c r="A86" t="s">
        <v>36</v>
      </c>
      <c r="B86" t="s">
        <v>94</v>
      </c>
      <c r="C86">
        <v>-3.0000000000000001E-3</v>
      </c>
      <c r="D86" t="s">
        <v>48</v>
      </c>
      <c r="E86" t="s">
        <v>121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>
      <c r="A87" t="s">
        <v>36</v>
      </c>
      <c r="B87" t="s">
        <v>95</v>
      </c>
      <c r="C87">
        <v>-5.4499999999999997E-7</v>
      </c>
      <c r="D87" t="s">
        <v>21</v>
      </c>
      <c r="E87" t="s">
        <v>121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>
      <c r="A88" t="s">
        <v>36</v>
      </c>
      <c r="B88" t="s">
        <v>96</v>
      </c>
      <c r="C88">
        <v>-5.0499999999999998E-3</v>
      </c>
      <c r="D88" t="s">
        <v>48</v>
      </c>
      <c r="E88" t="s">
        <v>121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>
      <c r="A90" s="10" t="s">
        <v>8</v>
      </c>
      <c r="B90" s="10" t="s">
        <v>124</v>
      </c>
    </row>
    <row r="91" spans="1:15">
      <c r="A91" s="10" t="s">
        <v>9</v>
      </c>
      <c r="B91" s="10" t="s">
        <v>143</v>
      </c>
    </row>
    <row r="92" spans="1:15">
      <c r="A92" s="10" t="s">
        <v>130</v>
      </c>
      <c r="B92" s="10" t="s">
        <v>144</v>
      </c>
    </row>
    <row r="93" spans="1:15">
      <c r="A93" t="s">
        <v>11</v>
      </c>
      <c r="B93">
        <v>230</v>
      </c>
    </row>
    <row r="94" spans="1:15">
      <c r="A94" t="s">
        <v>15</v>
      </c>
      <c r="B94" t="s">
        <v>125</v>
      </c>
    </row>
    <row r="95" spans="1:15">
      <c r="A95" t="s">
        <v>17</v>
      </c>
      <c r="B95">
        <v>1</v>
      </c>
    </row>
    <row r="96" spans="1:15">
      <c r="A96" t="s">
        <v>18</v>
      </c>
      <c r="B96" t="s">
        <v>19</v>
      </c>
    </row>
    <row r="97" spans="1:15">
      <c r="A97" t="s">
        <v>20</v>
      </c>
      <c r="B97" t="s">
        <v>21</v>
      </c>
    </row>
    <row r="98" spans="1:15">
      <c r="A98" t="s">
        <v>22</v>
      </c>
      <c r="B98" t="s">
        <v>102</v>
      </c>
    </row>
    <row r="99" spans="1:15">
      <c r="A99" t="s">
        <v>24</v>
      </c>
    </row>
    <row r="100" spans="1:15">
      <c r="A100" t="s">
        <v>9</v>
      </c>
      <c r="B100" t="s">
        <v>25</v>
      </c>
      <c r="C100" t="s">
        <v>17</v>
      </c>
      <c r="D100" t="s">
        <v>20</v>
      </c>
      <c r="E100" t="s">
        <v>26</v>
      </c>
      <c r="F100" t="s">
        <v>27</v>
      </c>
      <c r="G100" t="s">
        <v>15</v>
      </c>
      <c r="H100" t="s">
        <v>18</v>
      </c>
      <c r="I100" t="s">
        <v>22</v>
      </c>
      <c r="J100" t="s">
        <v>28</v>
      </c>
      <c r="K100" t="s">
        <v>29</v>
      </c>
      <c r="L100" t="s">
        <v>30</v>
      </c>
      <c r="M100" t="s">
        <v>31</v>
      </c>
      <c r="N100" t="s">
        <v>32</v>
      </c>
      <c r="O100" t="s">
        <v>33</v>
      </c>
    </row>
    <row r="101" spans="1:15">
      <c r="A101" t="str">
        <f>B91</f>
        <v>sec_tre =&gt; qua_tre__gac</v>
      </c>
      <c r="B101" t="str">
        <f>B90</f>
        <v>Activated Carbon Technology</v>
      </c>
      <c r="C101">
        <v>1</v>
      </c>
      <c r="D101" t="str">
        <f>B97</f>
        <v>cubic meter</v>
      </c>
      <c r="E101" t="str">
        <f>$B$2</f>
        <v>paw_db</v>
      </c>
      <c r="F101" t="s">
        <v>34</v>
      </c>
      <c r="G101" t="str">
        <f>B94</f>
        <v>DE</v>
      </c>
      <c r="H101" t="s">
        <v>35</v>
      </c>
      <c r="I101" t="str">
        <f>B98</f>
        <v>wastewater, average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>
      <c r="A102" t="s">
        <v>36</v>
      </c>
      <c r="B102" t="str">
        <f>B71</f>
        <v>Emissions 230</v>
      </c>
      <c r="C102">
        <v>1</v>
      </c>
      <c r="D102" t="str">
        <f>B80</f>
        <v>cubic meter</v>
      </c>
      <c r="E102" t="str">
        <f>E101</f>
        <v>paw_db</v>
      </c>
      <c r="F102" t="s">
        <v>41</v>
      </c>
      <c r="G102" t="str">
        <f>B77</f>
        <v>RER</v>
      </c>
      <c r="H102" t="s">
        <v>42</v>
      </c>
      <c r="I102" t="str">
        <f>B81</f>
        <v>direct emissions per m3</v>
      </c>
      <c r="J102">
        <v>0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>
      <c r="A103" t="s">
        <v>36</v>
      </c>
      <c r="B103" t="str">
        <f>B38</f>
        <v>Chemicals 230</v>
      </c>
      <c r="C103">
        <v>1</v>
      </c>
      <c r="D103" t="str">
        <f>B47</f>
        <v>cubic meter</v>
      </c>
      <c r="E103" t="str">
        <f>E102</f>
        <v>paw_db</v>
      </c>
      <c r="F103" t="s">
        <v>34</v>
      </c>
      <c r="G103" t="str">
        <f>B44</f>
        <v>RER</v>
      </c>
      <c r="H103" t="s">
        <v>42</v>
      </c>
      <c r="I103" t="str">
        <f>B48</f>
        <v>chemicals per m3</v>
      </c>
      <c r="J103">
        <v>1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>
      <c r="A104" t="s">
        <v>36</v>
      </c>
      <c r="B104" t="str">
        <f>B21</f>
        <v>GAC 230</v>
      </c>
      <c r="C104">
        <v>1</v>
      </c>
      <c r="D104" t="str">
        <f>B30</f>
        <v>cubic meter</v>
      </c>
      <c r="E104" t="str">
        <f>E103</f>
        <v>paw_db</v>
      </c>
      <c r="F104" t="s">
        <v>34</v>
      </c>
      <c r="G104" t="str">
        <f>B27</f>
        <v>RER</v>
      </c>
      <c r="H104" t="s">
        <v>42</v>
      </c>
      <c r="I104" t="str">
        <f>B31</f>
        <v>GAC per m3</v>
      </c>
      <c r="J104">
        <v>2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>
      <c r="A105" t="s">
        <v>36</v>
      </c>
      <c r="B105" t="str">
        <f>B5</f>
        <v>Electricity 230</v>
      </c>
      <c r="C105">
        <v>1</v>
      </c>
      <c r="D105" t="str">
        <f>B14</f>
        <v>cubic meter</v>
      </c>
      <c r="E105" t="str">
        <f>E104</f>
        <v>paw_db</v>
      </c>
      <c r="F105" t="s">
        <v>34</v>
      </c>
      <c r="G105" t="str">
        <f>B11</f>
        <v>RER</v>
      </c>
      <c r="H105" t="s">
        <v>42</v>
      </c>
      <c r="I105" t="str">
        <f>B15</f>
        <v>electricity per m3</v>
      </c>
      <c r="J105">
        <v>3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>
      <c r="A107" s="4" t="s">
        <v>8</v>
      </c>
      <c r="B107" s="4" t="s">
        <v>104</v>
      </c>
    </row>
    <row r="108" spans="1:15">
      <c r="A108" t="s">
        <v>9</v>
      </c>
      <c r="B108" t="s">
        <v>105</v>
      </c>
    </row>
    <row r="109" spans="1:15">
      <c r="A109" t="s">
        <v>10</v>
      </c>
      <c r="B109" t="s">
        <v>106</v>
      </c>
    </row>
    <row r="110" spans="1:15">
      <c r="A110" t="s">
        <v>11</v>
      </c>
      <c r="B110">
        <v>102</v>
      </c>
    </row>
    <row r="111" spans="1:15">
      <c r="A111" t="s">
        <v>12</v>
      </c>
      <c r="B111" t="s">
        <v>13</v>
      </c>
    </row>
    <row r="112" spans="1:15">
      <c r="A112" t="s">
        <v>14</v>
      </c>
      <c r="B112" t="s">
        <v>5</v>
      </c>
    </row>
    <row r="113" spans="1:15">
      <c r="A113" t="s">
        <v>15</v>
      </c>
      <c r="B113" t="s">
        <v>16</v>
      </c>
    </row>
    <row r="114" spans="1:15">
      <c r="A114" t="s">
        <v>17</v>
      </c>
      <c r="B114">
        <v>1</v>
      </c>
    </row>
    <row r="115" spans="1:15">
      <c r="A115" t="s">
        <v>18</v>
      </c>
      <c r="B115" t="s">
        <v>19</v>
      </c>
    </row>
    <row r="116" spans="1:15">
      <c r="A116" t="s">
        <v>20</v>
      </c>
      <c r="B116" t="s">
        <v>21</v>
      </c>
    </row>
    <row r="117" spans="1:15">
      <c r="A117" t="s">
        <v>22</v>
      </c>
      <c r="B117" t="s">
        <v>23</v>
      </c>
    </row>
    <row r="118" spans="1:15">
      <c r="A118" t="s">
        <v>24</v>
      </c>
    </row>
    <row r="119" spans="1:15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>
      <c r="A120" t="s">
        <v>105</v>
      </c>
      <c r="B120" t="s">
        <v>104</v>
      </c>
      <c r="C120">
        <v>1</v>
      </c>
      <c r="D120" t="s">
        <v>21</v>
      </c>
      <c r="E120" t="str">
        <f>$B$2</f>
        <v>paw_db</v>
      </c>
      <c r="F120" t="s">
        <v>34</v>
      </c>
      <c r="G120" t="s">
        <v>16</v>
      </c>
      <c r="H120" t="s">
        <v>35</v>
      </c>
      <c r="I120" t="s">
        <v>23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>
      <c r="A121" t="s">
        <v>36</v>
      </c>
      <c r="B121" t="s">
        <v>129</v>
      </c>
      <c r="C121">
        <v>0.17</v>
      </c>
      <c r="D121" t="s">
        <v>40</v>
      </c>
      <c r="E121" t="s">
        <v>121</v>
      </c>
      <c r="F121" t="s">
        <v>34</v>
      </c>
      <c r="G121" t="s">
        <v>125</v>
      </c>
      <c r="H121" t="s">
        <v>42</v>
      </c>
      <c r="I121" t="s">
        <v>43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>
      <c r="A123" s="4" t="s">
        <v>8</v>
      </c>
      <c r="B123" s="4" t="s">
        <v>107</v>
      </c>
    </row>
    <row r="124" spans="1:15">
      <c r="A124" t="s">
        <v>9</v>
      </c>
      <c r="B124" t="s">
        <v>108</v>
      </c>
    </row>
    <row r="125" spans="1:15">
      <c r="A125" t="s">
        <v>10</v>
      </c>
      <c r="B125" t="s">
        <v>106</v>
      </c>
    </row>
    <row r="126" spans="1:15">
      <c r="A126" t="s">
        <v>11</v>
      </c>
      <c r="B126">
        <v>102</v>
      </c>
    </row>
    <row r="127" spans="1:15">
      <c r="A127" t="s">
        <v>12</v>
      </c>
      <c r="B127" t="s">
        <v>13</v>
      </c>
    </row>
    <row r="128" spans="1:15">
      <c r="A128" t="s">
        <v>14</v>
      </c>
      <c r="B128" t="s">
        <v>5</v>
      </c>
    </row>
    <row r="129" spans="1:15">
      <c r="A129" t="s">
        <v>15</v>
      </c>
      <c r="B129" t="s">
        <v>16</v>
      </c>
    </row>
    <row r="130" spans="1:15">
      <c r="A130" t="s">
        <v>17</v>
      </c>
      <c r="B130">
        <v>1</v>
      </c>
    </row>
    <row r="131" spans="1:15">
      <c r="A131" t="s">
        <v>18</v>
      </c>
      <c r="B131" t="s">
        <v>19</v>
      </c>
    </row>
    <row r="132" spans="1:15">
      <c r="A132" t="s">
        <v>20</v>
      </c>
      <c r="B132" t="s">
        <v>21</v>
      </c>
    </row>
    <row r="133" spans="1:15">
      <c r="A133" t="s">
        <v>22</v>
      </c>
      <c r="B133" t="s">
        <v>54</v>
      </c>
    </row>
    <row r="134" spans="1:15">
      <c r="A134" t="s">
        <v>24</v>
      </c>
    </row>
    <row r="135" spans="1:15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>
      <c r="A136" t="s">
        <v>108</v>
      </c>
      <c r="B136" t="s">
        <v>107</v>
      </c>
      <c r="C136">
        <v>1</v>
      </c>
      <c r="D136" t="s">
        <v>21</v>
      </c>
      <c r="E136" t="str">
        <f>$B$2</f>
        <v>paw_db</v>
      </c>
      <c r="F136" t="s">
        <v>34</v>
      </c>
      <c r="G136" t="s">
        <v>16</v>
      </c>
      <c r="H136" t="s">
        <v>35</v>
      </c>
      <c r="I136" t="s">
        <v>54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>
      <c r="A137" t="s">
        <v>36</v>
      </c>
      <c r="B137" t="s">
        <v>69</v>
      </c>
      <c r="C137">
        <v>0.114</v>
      </c>
      <c r="D137" t="s">
        <v>48</v>
      </c>
      <c r="E137" t="s">
        <v>121</v>
      </c>
      <c r="F137" t="s">
        <v>34</v>
      </c>
      <c r="G137" t="s">
        <v>16</v>
      </c>
      <c r="H137" t="s">
        <v>42</v>
      </c>
      <c r="I137" t="s">
        <v>70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9" spans="1:15" s="10" customFormat="1">
      <c r="A139" s="10" t="s">
        <v>8</v>
      </c>
      <c r="B139" s="10" t="s">
        <v>127</v>
      </c>
    </row>
    <row r="140" spans="1:15" s="10" customFormat="1">
      <c r="A140" s="10" t="s">
        <v>9</v>
      </c>
      <c r="B140" s="10" t="s">
        <v>139</v>
      </c>
    </row>
    <row r="141" spans="1:15" s="10" customFormat="1">
      <c r="A141" s="10" t="s">
        <v>130</v>
      </c>
      <c r="B141" s="10" t="s">
        <v>140</v>
      </c>
    </row>
    <row r="142" spans="1:15">
      <c r="A142" t="s">
        <v>15</v>
      </c>
      <c r="B142" t="s">
        <v>125</v>
      </c>
    </row>
    <row r="143" spans="1:15">
      <c r="A143" t="s">
        <v>11</v>
      </c>
      <c r="B143">
        <v>102</v>
      </c>
    </row>
    <row r="144" spans="1:15">
      <c r="A144" t="s">
        <v>17</v>
      </c>
      <c r="B144">
        <v>1</v>
      </c>
    </row>
    <row r="145" spans="1:15">
      <c r="A145" t="s">
        <v>18</v>
      </c>
      <c r="B145" t="s">
        <v>19</v>
      </c>
    </row>
    <row r="146" spans="1:15">
      <c r="A146" t="s">
        <v>20</v>
      </c>
      <c r="B146" t="s">
        <v>21</v>
      </c>
    </row>
    <row r="147" spans="1:15">
      <c r="A147" t="s">
        <v>22</v>
      </c>
      <c r="B147" t="s">
        <v>128</v>
      </c>
    </row>
    <row r="148" spans="1:15">
      <c r="A148" t="s">
        <v>24</v>
      </c>
    </row>
    <row r="149" spans="1:15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>
      <c r="A150" t="str">
        <f>B140</f>
        <v>sec_tre =&gt; qua_tre__o3</v>
      </c>
      <c r="B150" t="str">
        <f>B139</f>
        <v>Ozonation</v>
      </c>
      <c r="C150">
        <v>1</v>
      </c>
      <c r="D150" t="str">
        <f>B146</f>
        <v>cubic meter</v>
      </c>
      <c r="E150" t="str">
        <f>$B$2</f>
        <v>paw_db</v>
      </c>
      <c r="F150" t="s">
        <v>34</v>
      </c>
      <c r="G150" t="str">
        <f>B142</f>
        <v>DE</v>
      </c>
      <c r="H150" t="s">
        <v>35</v>
      </c>
      <c r="I150" t="str">
        <f>B147</f>
        <v>treated wastewater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>
      <c r="A151" t="s">
        <v>36</v>
      </c>
      <c r="B151" t="str">
        <f>B123</f>
        <v>Chemicals 102</v>
      </c>
      <c r="C151">
        <v>1</v>
      </c>
      <c r="D151" t="str">
        <f>B146</f>
        <v>cubic meter</v>
      </c>
      <c r="E151" t="str">
        <f>E150</f>
        <v>paw_db</v>
      </c>
      <c r="F151" t="s">
        <v>41</v>
      </c>
      <c r="G151" t="str">
        <f>B129</f>
        <v>RER</v>
      </c>
      <c r="H151" t="s">
        <v>42</v>
      </c>
      <c r="I151" t="str">
        <f>B132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>
      <c r="A152" t="s">
        <v>36</v>
      </c>
      <c r="B152" t="str">
        <f>B107</f>
        <v>Electricity 102</v>
      </c>
      <c r="C152">
        <v>1</v>
      </c>
      <c r="D152" t="str">
        <f>B116</f>
        <v>cubic meter</v>
      </c>
      <c r="E152" t="str">
        <f>E151</f>
        <v>paw_db</v>
      </c>
      <c r="F152" t="s">
        <v>34</v>
      </c>
      <c r="G152" t="str">
        <f>B113</f>
        <v>RER</v>
      </c>
      <c r="H152" t="str">
        <f>H151</f>
        <v>technosphere</v>
      </c>
      <c r="I152" t="str">
        <f>B116</f>
        <v>cubic meter</v>
      </c>
      <c r="J152">
        <v>0</v>
      </c>
      <c r="K152" t="s">
        <v>36</v>
      </c>
      <c r="L152" t="s">
        <v>36</v>
      </c>
      <c r="M152" t="s">
        <v>36</v>
      </c>
      <c r="N152" t="s">
        <v>36</v>
      </c>
      <c r="O152" t="s">
        <v>36</v>
      </c>
    </row>
    <row r="153" spans="1:15" ht="13.7" customHeight="1"/>
    <row r="154" spans="1:15" s="10" customFormat="1">
      <c r="A154" s="10" t="s">
        <v>8</v>
      </c>
      <c r="B154" s="10" t="s">
        <v>126</v>
      </c>
    </row>
    <row r="155" spans="1:15" s="10" customFormat="1">
      <c r="A155" s="10" t="s">
        <v>9</v>
      </c>
      <c r="B155" s="10" t="s">
        <v>142</v>
      </c>
    </row>
    <row r="156" spans="1:15" s="10" customFormat="1">
      <c r="A156" s="10" t="s">
        <v>130</v>
      </c>
      <c r="B156" s="10" t="s">
        <v>141</v>
      </c>
    </row>
    <row r="157" spans="1:15">
      <c r="A157" t="s">
        <v>10</v>
      </c>
      <c r="B157" t="s">
        <v>109</v>
      </c>
    </row>
    <row r="158" spans="1:15">
      <c r="A158" t="s">
        <v>11</v>
      </c>
      <c r="B158" s="9">
        <v>128</v>
      </c>
    </row>
    <row r="159" spans="1:15">
      <c r="A159" t="s">
        <v>12</v>
      </c>
      <c r="B159" t="s">
        <v>13</v>
      </c>
    </row>
    <row r="160" spans="1:15">
      <c r="A160" t="s">
        <v>14</v>
      </c>
      <c r="B160" t="s">
        <v>6</v>
      </c>
    </row>
    <row r="161" spans="1:15">
      <c r="A161" t="s">
        <v>15</v>
      </c>
      <c r="B161" t="s">
        <v>125</v>
      </c>
    </row>
    <row r="162" spans="1:15">
      <c r="A162" t="s">
        <v>17</v>
      </c>
      <c r="B162">
        <v>1</v>
      </c>
    </row>
    <row r="163" spans="1:15">
      <c r="A163" t="s">
        <v>18</v>
      </c>
      <c r="B163" t="s">
        <v>19</v>
      </c>
    </row>
    <row r="164" spans="1:15">
      <c r="A164" t="s">
        <v>20</v>
      </c>
      <c r="B164" t="s">
        <v>21</v>
      </c>
    </row>
    <row r="165" spans="1:15">
      <c r="A165" t="s">
        <v>22</v>
      </c>
      <c r="B165" t="s">
        <v>128</v>
      </c>
    </row>
    <row r="166" spans="1:15">
      <c r="A166" t="s">
        <v>24</v>
      </c>
    </row>
    <row r="167" spans="1:15">
      <c r="A167" t="s">
        <v>9</v>
      </c>
      <c r="B167" t="s">
        <v>25</v>
      </c>
      <c r="C167" t="s">
        <v>17</v>
      </c>
      <c r="D167" t="s">
        <v>20</v>
      </c>
      <c r="E167" t="s">
        <v>26</v>
      </c>
      <c r="F167" t="s">
        <v>27</v>
      </c>
      <c r="G167" t="s">
        <v>15</v>
      </c>
      <c r="H167" t="s">
        <v>18</v>
      </c>
      <c r="I167" t="s">
        <v>22</v>
      </c>
      <c r="J167" t="s">
        <v>28</v>
      </c>
      <c r="K167" t="s">
        <v>29</v>
      </c>
      <c r="L167" t="s">
        <v>30</v>
      </c>
      <c r="M167" t="s">
        <v>31</v>
      </c>
      <c r="N167" t="s">
        <v>32</v>
      </c>
      <c r="O167" t="s">
        <v>33</v>
      </c>
    </row>
    <row r="168" spans="1:15">
      <c r="A168" t="str">
        <f>B155</f>
        <v>sec_tre =&gt; qua_tre__aop</v>
      </c>
      <c r="B168" t="str">
        <f>B154</f>
        <v>Advanced Oxidation Process</v>
      </c>
      <c r="C168">
        <v>1</v>
      </c>
      <c r="D168" t="s">
        <v>21</v>
      </c>
      <c r="E168" t="str">
        <f>$B$2</f>
        <v>paw_db</v>
      </c>
      <c r="F168" t="s">
        <v>34</v>
      </c>
      <c r="G168" t="s">
        <v>125</v>
      </c>
      <c r="H168" t="s">
        <v>35</v>
      </c>
      <c r="I168" t="str">
        <f>B165</f>
        <v>treated wastewater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>
      <c r="A169" t="s">
        <v>36</v>
      </c>
      <c r="B169" t="s">
        <v>61</v>
      </c>
      <c r="C169">
        <v>0.02</v>
      </c>
      <c r="D169" t="s">
        <v>48</v>
      </c>
      <c r="E169" t="s">
        <v>121</v>
      </c>
      <c r="F169" t="s">
        <v>34</v>
      </c>
      <c r="G169" t="s">
        <v>16</v>
      </c>
      <c r="H169" t="s">
        <v>42</v>
      </c>
      <c r="I169" t="s">
        <v>62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>
      <c r="A170" t="s">
        <v>36</v>
      </c>
      <c r="B170" t="s">
        <v>59</v>
      </c>
      <c r="C170">
        <v>0</v>
      </c>
      <c r="D170" t="s">
        <v>48</v>
      </c>
      <c r="E170" t="s">
        <v>121</v>
      </c>
      <c r="F170" t="s">
        <v>34</v>
      </c>
      <c r="G170" t="s">
        <v>16</v>
      </c>
      <c r="H170" t="s">
        <v>42</v>
      </c>
      <c r="I170" t="s">
        <v>60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1" spans="1:15">
      <c r="A171" t="s">
        <v>36</v>
      </c>
      <c r="B171" t="s">
        <v>110</v>
      </c>
      <c r="C171">
        <v>0.02</v>
      </c>
      <c r="D171" t="s">
        <v>48</v>
      </c>
      <c r="E171" t="s">
        <v>121</v>
      </c>
      <c r="F171" t="s">
        <v>34</v>
      </c>
      <c r="G171" t="s">
        <v>16</v>
      </c>
      <c r="H171" t="s">
        <v>42</v>
      </c>
      <c r="I171" t="s">
        <v>111</v>
      </c>
      <c r="J171">
        <v>0</v>
      </c>
      <c r="K171" t="s">
        <v>36</v>
      </c>
      <c r="L171" t="s">
        <v>36</v>
      </c>
      <c r="M171" t="s">
        <v>36</v>
      </c>
      <c r="N171" t="s">
        <v>36</v>
      </c>
      <c r="O171" t="s">
        <v>36</v>
      </c>
    </row>
    <row r="173" spans="1:15" s="10" customFormat="1">
      <c r="A173" s="10" t="s">
        <v>8</v>
      </c>
      <c r="B173" s="10" t="s">
        <v>112</v>
      </c>
    </row>
    <row r="174" spans="1:15" s="10" customFormat="1">
      <c r="A174" s="10" t="s">
        <v>9</v>
      </c>
      <c r="B174" s="10" t="s">
        <v>145</v>
      </c>
    </row>
    <row r="175" spans="1:15" s="10" customFormat="1">
      <c r="A175" s="10" t="s">
        <v>130</v>
      </c>
      <c r="B175" s="10" t="s">
        <v>146</v>
      </c>
    </row>
    <row r="176" spans="1:15" s="10" customFormat="1">
      <c r="A176" s="10" t="s">
        <v>149</v>
      </c>
      <c r="B176" s="10" t="s">
        <v>147</v>
      </c>
    </row>
    <row r="177" spans="1:15" s="10" customFormat="1">
      <c r="A177" s="10" t="s">
        <v>150</v>
      </c>
      <c r="B177" s="10" t="s">
        <v>148</v>
      </c>
    </row>
    <row r="178" spans="1:15" s="10" customFormat="1">
      <c r="A178" s="10" t="s">
        <v>156</v>
      </c>
      <c r="B178" s="10" t="s">
        <v>157</v>
      </c>
    </row>
    <row r="179" spans="1:15">
      <c r="A179" t="s">
        <v>15</v>
      </c>
      <c r="B179" t="s">
        <v>101</v>
      </c>
    </row>
    <row r="180" spans="1:15">
      <c r="A180" t="s">
        <v>17</v>
      </c>
      <c r="B180">
        <v>1</v>
      </c>
    </row>
    <row r="181" spans="1:15">
      <c r="A181" t="s">
        <v>18</v>
      </c>
      <c r="B181" t="s">
        <v>19</v>
      </c>
    </row>
    <row r="182" spans="1:15">
      <c r="A182" t="s">
        <v>20</v>
      </c>
      <c r="B182" t="s">
        <v>48</v>
      </c>
    </row>
    <row r="183" spans="1:15">
      <c r="A183" t="s">
        <v>22</v>
      </c>
      <c r="B183" t="s">
        <v>113</v>
      </c>
    </row>
    <row r="184" spans="1:15">
      <c r="A184" t="s">
        <v>24</v>
      </c>
    </row>
    <row r="185" spans="1:15">
      <c r="A185" t="s">
        <v>9</v>
      </c>
      <c r="B185" t="s">
        <v>25</v>
      </c>
      <c r="C185" t="s">
        <v>17</v>
      </c>
      <c r="D185" t="s">
        <v>20</v>
      </c>
      <c r="E185" t="s">
        <v>26</v>
      </c>
      <c r="F185" t="s">
        <v>27</v>
      </c>
      <c r="G185" t="s">
        <v>15</v>
      </c>
      <c r="H185" t="s">
        <v>18</v>
      </c>
      <c r="I185" t="s">
        <v>22</v>
      </c>
      <c r="J185" t="s">
        <v>28</v>
      </c>
      <c r="K185" t="s">
        <v>29</v>
      </c>
      <c r="L185" t="s">
        <v>30</v>
      </c>
      <c r="M185" t="s">
        <v>31</v>
      </c>
      <c r="N185" t="s">
        <v>32</v>
      </c>
      <c r="O185" t="s">
        <v>33</v>
      </c>
    </row>
    <row r="186" spans="1:15">
      <c r="A186" t="str">
        <f>B174</f>
        <v>qua_tre =&gt; inc__nof</v>
      </c>
      <c r="B186" t="str">
        <f>B173</f>
        <v xml:space="preserve">sludge incineration </v>
      </c>
      <c r="C186">
        <v>1</v>
      </c>
      <c r="D186" t="str">
        <f>B182</f>
        <v>kilogram</v>
      </c>
      <c r="E186" t="str">
        <f>B2</f>
        <v>paw_db</v>
      </c>
      <c r="F186" t="s">
        <v>34</v>
      </c>
      <c r="G186" t="str">
        <f>B179</f>
        <v>Europe without Switzerland</v>
      </c>
      <c r="H186" t="s">
        <v>35</v>
      </c>
      <c r="I186" t="str">
        <f>B183</f>
        <v>sewage sludge, 70% water, WWT, WW, average</v>
      </c>
      <c r="J186">
        <v>0</v>
      </c>
      <c r="K186" t="s">
        <v>36</v>
      </c>
      <c r="L186" t="s">
        <v>36</v>
      </c>
      <c r="M186" t="s">
        <v>36</v>
      </c>
      <c r="N186" t="s">
        <v>36</v>
      </c>
      <c r="O186" t="s">
        <v>36</v>
      </c>
    </row>
    <row r="187" spans="1:15">
      <c r="A187" t="s">
        <v>36</v>
      </c>
      <c r="B187" t="s">
        <v>114</v>
      </c>
      <c r="C187">
        <v>-1</v>
      </c>
      <c r="D187" t="str">
        <f>D186</f>
        <v>kilogram</v>
      </c>
      <c r="E187" t="s">
        <v>121</v>
      </c>
      <c r="F187" t="s">
        <v>41</v>
      </c>
      <c r="G187" t="str">
        <f>B179</f>
        <v>Europe without Switzerland</v>
      </c>
      <c r="H187" t="s">
        <v>42</v>
      </c>
      <c r="I187" t="s">
        <v>113</v>
      </c>
      <c r="J187">
        <v>0</v>
      </c>
      <c r="K187" t="s">
        <v>36</v>
      </c>
      <c r="L187" t="s">
        <v>36</v>
      </c>
      <c r="M187" t="s">
        <v>36</v>
      </c>
      <c r="N187" t="s">
        <v>36</v>
      </c>
      <c r="O187" t="s">
        <v>36</v>
      </c>
    </row>
    <row r="188" spans="1:15" ht="15.6" customHeight="1"/>
    <row r="189" spans="1:15" s="10" customFormat="1">
      <c r="A189" s="10" t="s">
        <v>8</v>
      </c>
      <c r="B189" s="10" t="s">
        <v>115</v>
      </c>
    </row>
    <row r="190" spans="1:15" s="10" customFormat="1">
      <c r="A190" s="10" t="s">
        <v>9</v>
      </c>
      <c r="B190" s="10" t="s">
        <v>152</v>
      </c>
    </row>
    <row r="191" spans="1:15" s="10" customFormat="1">
      <c r="A191" s="10" t="s">
        <v>130</v>
      </c>
      <c r="B191" s="10" t="s">
        <v>151</v>
      </c>
    </row>
    <row r="192" spans="1:15" s="10" customFormat="1">
      <c r="A192" s="10" t="s">
        <v>149</v>
      </c>
      <c r="B192" s="10" t="s">
        <v>153</v>
      </c>
    </row>
    <row r="193" spans="1:15" s="10" customFormat="1">
      <c r="A193" s="10" t="s">
        <v>150</v>
      </c>
      <c r="B193" s="10" t="s">
        <v>154</v>
      </c>
    </row>
    <row r="194" spans="1:15" s="10" customFormat="1">
      <c r="A194" s="10" t="s">
        <v>156</v>
      </c>
      <c r="B194" s="10" t="s">
        <v>155</v>
      </c>
    </row>
    <row r="195" spans="1:15">
      <c r="A195" t="s">
        <v>15</v>
      </c>
      <c r="B195" t="s">
        <v>101</v>
      </c>
    </row>
    <row r="196" spans="1:15">
      <c r="A196" t="s">
        <v>17</v>
      </c>
      <c r="B196">
        <v>1</v>
      </c>
    </row>
    <row r="197" spans="1:15">
      <c r="A197" t="s">
        <v>18</v>
      </c>
      <c r="B197" t="s">
        <v>19</v>
      </c>
    </row>
    <row r="198" spans="1:15">
      <c r="A198" t="s">
        <v>20</v>
      </c>
      <c r="B198" t="s">
        <v>21</v>
      </c>
    </row>
    <row r="199" spans="1:15">
      <c r="A199" t="s">
        <v>22</v>
      </c>
      <c r="B199" t="s">
        <v>102</v>
      </c>
    </row>
    <row r="200" spans="1:15">
      <c r="A200" t="s">
        <v>24</v>
      </c>
    </row>
    <row r="201" spans="1:15">
      <c r="A201" t="s">
        <v>9</v>
      </c>
      <c r="B201" t="s">
        <v>25</v>
      </c>
      <c r="C201" t="s">
        <v>17</v>
      </c>
      <c r="D201" t="s">
        <v>20</v>
      </c>
      <c r="E201" t="s">
        <v>26</v>
      </c>
      <c r="F201" t="s">
        <v>27</v>
      </c>
      <c r="G201" t="s">
        <v>15</v>
      </c>
      <c r="H201" t="s">
        <v>18</v>
      </c>
      <c r="I201" t="s">
        <v>22</v>
      </c>
      <c r="J201" t="s">
        <v>28</v>
      </c>
      <c r="K201" t="s">
        <v>29</v>
      </c>
      <c r="L201" t="s">
        <v>30</v>
      </c>
      <c r="M201" t="s">
        <v>31</v>
      </c>
      <c r="N201" t="s">
        <v>32</v>
      </c>
      <c r="O201" t="s">
        <v>33</v>
      </c>
    </row>
    <row r="202" spans="1:15">
      <c r="A202" t="str">
        <f>B192</f>
        <v>dec_tre =&gt; sec_tre__o3</v>
      </c>
      <c r="B202" t="str">
        <f>B189</f>
        <v>secondary treatment</v>
      </c>
      <c r="C202">
        <v>1</v>
      </c>
      <c r="D202" t="str">
        <f>B198</f>
        <v>cubic meter</v>
      </c>
      <c r="E202" t="str">
        <f>$B$2</f>
        <v>paw_db</v>
      </c>
      <c r="F202" t="s">
        <v>34</v>
      </c>
      <c r="G202" t="str">
        <f>B195</f>
        <v>Europe without Switzerland</v>
      </c>
      <c r="H202" t="s">
        <v>35</v>
      </c>
      <c r="I202" t="str">
        <f>B199</f>
        <v>wastewater, average</v>
      </c>
      <c r="J202">
        <v>0</v>
      </c>
      <c r="K202" t="s">
        <v>36</v>
      </c>
      <c r="L202" t="s">
        <v>36</v>
      </c>
      <c r="M202" t="s">
        <v>36</v>
      </c>
      <c r="N202" t="s">
        <v>36</v>
      </c>
      <c r="O202" t="s">
        <v>36</v>
      </c>
    </row>
    <row r="203" spans="1:15">
      <c r="A203" t="s">
        <v>36</v>
      </c>
      <c r="B203" t="s">
        <v>95</v>
      </c>
      <c r="C203">
        <v>-1</v>
      </c>
      <c r="D203" t="str">
        <f>B198</f>
        <v>cubic meter</v>
      </c>
      <c r="E203" t="s">
        <v>121</v>
      </c>
      <c r="F203" t="s">
        <v>41</v>
      </c>
      <c r="G203" t="str">
        <f>B195</f>
        <v>Europe without Switzerland</v>
      </c>
      <c r="H203" t="s">
        <v>42</v>
      </c>
      <c r="I203" t="str">
        <f>B199</f>
        <v>wastewater, average</v>
      </c>
      <c r="J203">
        <v>0</v>
      </c>
      <c r="K203" t="s">
        <v>36</v>
      </c>
      <c r="L203" t="s">
        <v>36</v>
      </c>
      <c r="M203" t="s">
        <v>36</v>
      </c>
      <c r="N203" t="s">
        <v>36</v>
      </c>
      <c r="O203" t="s">
        <v>36</v>
      </c>
    </row>
    <row r="205" spans="1:15" s="10" customFormat="1">
      <c r="A205" s="10" t="s">
        <v>8</v>
      </c>
      <c r="B205" s="10" t="s">
        <v>116</v>
      </c>
    </row>
    <row r="206" spans="1:15" s="10" customFormat="1">
      <c r="A206" s="10" t="s">
        <v>158</v>
      </c>
      <c r="B206" s="10" t="s">
        <v>145</v>
      </c>
    </row>
    <row r="207" spans="1:15" s="10" customFormat="1">
      <c r="A207" s="10" t="s">
        <v>130</v>
      </c>
      <c r="B207" s="10" t="s">
        <v>146</v>
      </c>
    </row>
    <row r="208" spans="1:15" s="10" customFormat="1">
      <c r="A208" s="10" t="s">
        <v>149</v>
      </c>
      <c r="B208" s="10" t="s">
        <v>147</v>
      </c>
    </row>
    <row r="209" spans="1:15" s="10" customFormat="1">
      <c r="A209" s="10" t="s">
        <v>150</v>
      </c>
      <c r="B209" s="10" t="s">
        <v>148</v>
      </c>
    </row>
    <row r="210" spans="1:15" s="10" customFormat="1">
      <c r="A210" s="10" t="s">
        <v>156</v>
      </c>
      <c r="B210" s="10" t="s">
        <v>157</v>
      </c>
    </row>
    <row r="211" spans="1:15" s="10" customFormat="1">
      <c r="A211" s="10" t="s">
        <v>9</v>
      </c>
      <c r="B211" s="10" t="s">
        <v>159</v>
      </c>
    </row>
    <row r="212" spans="1:15">
      <c r="A212" t="s">
        <v>15</v>
      </c>
      <c r="B212" t="s">
        <v>16</v>
      </c>
    </row>
    <row r="213" spans="1:15">
      <c r="A213" t="s">
        <v>17</v>
      </c>
      <c r="B213">
        <v>1</v>
      </c>
    </row>
    <row r="214" spans="1:15">
      <c r="A214" t="s">
        <v>18</v>
      </c>
      <c r="B214" t="s">
        <v>19</v>
      </c>
    </row>
    <row r="215" spans="1:15">
      <c r="A215" t="s">
        <v>20</v>
      </c>
      <c r="B215" t="s">
        <v>123</v>
      </c>
    </row>
    <row r="216" spans="1:15">
      <c r="A216" t="s">
        <v>22</v>
      </c>
      <c r="B216" t="s">
        <v>117</v>
      </c>
    </row>
    <row r="217" spans="1:15">
      <c r="A217" t="s">
        <v>24</v>
      </c>
    </row>
    <row r="218" spans="1:15">
      <c r="A218" t="s">
        <v>9</v>
      </c>
      <c r="B218" t="s">
        <v>25</v>
      </c>
      <c r="C218" t="s">
        <v>17</v>
      </c>
      <c r="D218" t="s">
        <v>20</v>
      </c>
      <c r="E218" t="s">
        <v>26</v>
      </c>
      <c r="F218" t="s">
        <v>27</v>
      </c>
      <c r="G218" t="s">
        <v>15</v>
      </c>
      <c r="H218" t="s">
        <v>18</v>
      </c>
      <c r="I218" t="s">
        <v>22</v>
      </c>
      <c r="J218" t="s">
        <v>28</v>
      </c>
      <c r="K218" t="s">
        <v>29</v>
      </c>
      <c r="L218" t="s">
        <v>30</v>
      </c>
      <c r="M218" t="s">
        <v>31</v>
      </c>
      <c r="N218" t="s">
        <v>32</v>
      </c>
      <c r="O218" t="s">
        <v>33</v>
      </c>
    </row>
    <row r="219" spans="1:15">
      <c r="A219" t="str">
        <f>B211</f>
        <v>sldg_trans</v>
      </c>
      <c r="B219" t="str">
        <f>B205</f>
        <v>transport of sludge to incineration</v>
      </c>
      <c r="C219">
        <v>1</v>
      </c>
      <c r="D219" t="str">
        <f>B215</f>
        <v>ton kilometer</v>
      </c>
      <c r="E219" t="str">
        <f>$B$2</f>
        <v>paw_db</v>
      </c>
      <c r="F219" t="s">
        <v>34</v>
      </c>
      <c r="G219" t="str">
        <f>B212</f>
        <v>RER</v>
      </c>
      <c r="H219" t="s">
        <v>35</v>
      </c>
      <c r="I219" t="str">
        <f>B216</f>
        <v>transport, freight, lorry, diesel, unspecified</v>
      </c>
      <c r="J219">
        <v>0</v>
      </c>
      <c r="K219" t="s">
        <v>36</v>
      </c>
      <c r="L219" t="s">
        <v>36</v>
      </c>
      <c r="M219" t="s">
        <v>36</v>
      </c>
      <c r="N219" t="s">
        <v>36</v>
      </c>
      <c r="O219" t="s">
        <v>36</v>
      </c>
    </row>
    <row r="220" spans="1:15">
      <c r="A220" t="s">
        <v>36</v>
      </c>
      <c r="B220" t="s">
        <v>119</v>
      </c>
      <c r="C220">
        <v>100</v>
      </c>
      <c r="D220" t="str">
        <f>B215</f>
        <v>ton kilometer</v>
      </c>
      <c r="E220" t="s">
        <v>121</v>
      </c>
      <c r="F220" t="s">
        <v>41</v>
      </c>
      <c r="G220" t="str">
        <f>B212</f>
        <v>RER</v>
      </c>
      <c r="H220" t="s">
        <v>42</v>
      </c>
      <c r="I220" t="s">
        <v>117</v>
      </c>
      <c r="J220">
        <v>0</v>
      </c>
      <c r="K220" t="s">
        <v>36</v>
      </c>
      <c r="L220" t="s">
        <v>36</v>
      </c>
      <c r="M220" t="s">
        <v>36</v>
      </c>
      <c r="N220" t="s">
        <v>36</v>
      </c>
      <c r="O220" t="s">
        <v>36</v>
      </c>
    </row>
    <row r="222" spans="1:15" s="10" customFormat="1">
      <c r="A222" s="10" t="s">
        <v>8</v>
      </c>
      <c r="B222" s="10" t="s">
        <v>118</v>
      </c>
    </row>
    <row r="223" spans="1:15" s="10" customFormat="1">
      <c r="A223" s="10" t="s">
        <v>9</v>
      </c>
      <c r="B223" s="10" t="s">
        <v>160</v>
      </c>
    </row>
    <row r="224" spans="1:15">
      <c r="A224" t="s">
        <v>15</v>
      </c>
      <c r="B224" t="s">
        <v>16</v>
      </c>
    </row>
    <row r="225" spans="1:15">
      <c r="A225" t="s">
        <v>17</v>
      </c>
      <c r="B225">
        <v>1</v>
      </c>
    </row>
    <row r="226" spans="1:15">
      <c r="A226" t="s">
        <v>18</v>
      </c>
      <c r="B226" t="s">
        <v>19</v>
      </c>
    </row>
    <row r="227" spans="1:15">
      <c r="A227" t="s">
        <v>20</v>
      </c>
      <c r="B227" t="s">
        <v>123</v>
      </c>
    </row>
    <row r="228" spans="1:15">
      <c r="A228" t="s">
        <v>22</v>
      </c>
      <c r="B228" t="s">
        <v>117</v>
      </c>
    </row>
    <row r="229" spans="1:15">
      <c r="A229" t="s">
        <v>24</v>
      </c>
    </row>
    <row r="230" spans="1:15">
      <c r="A230" t="s">
        <v>9</v>
      </c>
      <c r="B230" t="s">
        <v>25</v>
      </c>
      <c r="C230" t="s">
        <v>17</v>
      </c>
      <c r="D230" t="s">
        <v>20</v>
      </c>
      <c r="E230" t="s">
        <v>26</v>
      </c>
      <c r="F230" t="s">
        <v>27</v>
      </c>
      <c r="G230" t="s">
        <v>15</v>
      </c>
      <c r="H230" t="s">
        <v>18</v>
      </c>
      <c r="I230" t="s">
        <v>22</v>
      </c>
      <c r="J230" t="s">
        <v>28</v>
      </c>
      <c r="K230" t="s">
        <v>29</v>
      </c>
      <c r="L230" t="s">
        <v>30</v>
      </c>
      <c r="M230" t="s">
        <v>31</v>
      </c>
      <c r="N230" t="s">
        <v>32</v>
      </c>
      <c r="O230" t="s">
        <v>33</v>
      </c>
    </row>
    <row r="231" spans="1:15">
      <c r="A231" t="str">
        <f>B223</f>
        <v>fer =&gt; soi</v>
      </c>
      <c r="B231" t="str">
        <f>B222</f>
        <v>transport of fertilizer to soil</v>
      </c>
      <c r="C231">
        <v>1</v>
      </c>
      <c r="D231" t="str">
        <f>B227</f>
        <v>ton kilometer</v>
      </c>
      <c r="E231" t="str">
        <f>$B$2</f>
        <v>paw_db</v>
      </c>
      <c r="F231" t="s">
        <v>34</v>
      </c>
      <c r="G231" t="str">
        <f>B224</f>
        <v>RER</v>
      </c>
      <c r="H231" t="s">
        <v>35</v>
      </c>
      <c r="I231" t="str">
        <f>B228</f>
        <v>transport, freight, lorry, diesel, unspecified</v>
      </c>
      <c r="J231">
        <v>0</v>
      </c>
      <c r="K231" t="s">
        <v>36</v>
      </c>
      <c r="L231" t="s">
        <v>36</v>
      </c>
      <c r="M231" t="s">
        <v>36</v>
      </c>
      <c r="N231" t="s">
        <v>36</v>
      </c>
      <c r="O231" t="s">
        <v>36</v>
      </c>
    </row>
    <row r="232" spans="1:15">
      <c r="A232" t="s">
        <v>36</v>
      </c>
      <c r="B232" t="s">
        <v>119</v>
      </c>
      <c r="C232">
        <v>20</v>
      </c>
      <c r="D232" t="str">
        <f>B227</f>
        <v>ton kilometer</v>
      </c>
      <c r="E232" t="s">
        <v>121</v>
      </c>
      <c r="F232" t="s">
        <v>41</v>
      </c>
      <c r="G232" t="str">
        <f>B224</f>
        <v>RER</v>
      </c>
      <c r="H232" t="s">
        <v>42</v>
      </c>
      <c r="I232" t="s">
        <v>117</v>
      </c>
      <c r="J232">
        <v>0</v>
      </c>
      <c r="K232" t="s">
        <v>36</v>
      </c>
      <c r="L232" t="s">
        <v>36</v>
      </c>
      <c r="M232" t="s">
        <v>36</v>
      </c>
      <c r="N232" t="s">
        <v>36</v>
      </c>
      <c r="O232" t="s">
        <v>36</v>
      </c>
    </row>
    <row r="234" spans="1:15">
      <c r="A234" s="10" t="s">
        <v>8</v>
      </c>
      <c r="B234" s="10" t="s">
        <v>131</v>
      </c>
    </row>
    <row r="235" spans="1:15">
      <c r="A235" s="10" t="s">
        <v>130</v>
      </c>
      <c r="B235" s="10" t="s">
        <v>163</v>
      </c>
    </row>
    <row r="236" spans="1:15">
      <c r="A236" s="10" t="s">
        <v>9</v>
      </c>
      <c r="B236" s="10" t="s">
        <v>161</v>
      </c>
    </row>
    <row r="237" spans="1:15">
      <c r="A237" t="s">
        <v>15</v>
      </c>
      <c r="B237" t="s">
        <v>16</v>
      </c>
    </row>
    <row r="238" spans="1:15">
      <c r="A238" t="s">
        <v>17</v>
      </c>
      <c r="B238">
        <v>1</v>
      </c>
    </row>
    <row r="239" spans="1:15">
      <c r="A239" t="s">
        <v>18</v>
      </c>
      <c r="B239" t="s">
        <v>19</v>
      </c>
    </row>
    <row r="240" spans="1:15">
      <c r="A240" t="s">
        <v>20</v>
      </c>
      <c r="B240" t="s">
        <v>48</v>
      </c>
    </row>
    <row r="241" spans="1:15">
      <c r="A241" t="s">
        <v>22</v>
      </c>
      <c r="B241" t="s">
        <v>136</v>
      </c>
    </row>
    <row r="242" spans="1:15">
      <c r="A242" t="s">
        <v>24</v>
      </c>
    </row>
    <row r="243" spans="1:15">
      <c r="A243" t="s">
        <v>9</v>
      </c>
      <c r="B243" t="s">
        <v>25</v>
      </c>
      <c r="C243" t="s">
        <v>17</v>
      </c>
      <c r="D243" t="s">
        <v>20</v>
      </c>
      <c r="E243" t="s">
        <v>26</v>
      </c>
      <c r="F243" t="s">
        <v>27</v>
      </c>
      <c r="G243" t="s">
        <v>15</v>
      </c>
      <c r="H243" t="s">
        <v>18</v>
      </c>
      <c r="I243" t="s">
        <v>22</v>
      </c>
      <c r="J243" t="s">
        <v>28</v>
      </c>
      <c r="K243" t="s">
        <v>29</v>
      </c>
      <c r="L243" t="s">
        <v>30</v>
      </c>
      <c r="M243" t="s">
        <v>31</v>
      </c>
      <c r="N243" t="s">
        <v>32</v>
      </c>
      <c r="O243" t="s">
        <v>33</v>
      </c>
    </row>
    <row r="244" spans="1:15">
      <c r="A244" t="s">
        <v>132</v>
      </c>
      <c r="B244" t="str">
        <f>B234</f>
        <v>BPA to soil</v>
      </c>
      <c r="C244">
        <v>1</v>
      </c>
      <c r="D244" t="s">
        <v>48</v>
      </c>
      <c r="E244" t="s">
        <v>120</v>
      </c>
      <c r="F244" t="s">
        <v>34</v>
      </c>
      <c r="G244" t="s">
        <v>16</v>
      </c>
      <c r="H244" t="s">
        <v>35</v>
      </c>
      <c r="I244" t="str">
        <f>B241</f>
        <v>bpa to soil</v>
      </c>
      <c r="J244">
        <v>0</v>
      </c>
      <c r="K244" t="s">
        <v>36</v>
      </c>
      <c r="L244" t="s">
        <v>36</v>
      </c>
      <c r="M244" t="s">
        <v>36</v>
      </c>
      <c r="N244" t="s">
        <v>36</v>
      </c>
      <c r="O244" t="s">
        <v>36</v>
      </c>
    </row>
    <row r="245" spans="1:15">
      <c r="B245" t="s">
        <v>134</v>
      </c>
      <c r="C245">
        <v>1</v>
      </c>
      <c r="D245" t="s">
        <v>48</v>
      </c>
      <c r="E245" t="s">
        <v>122</v>
      </c>
      <c r="F245" t="s">
        <v>135</v>
      </c>
      <c r="H245" t="s">
        <v>74</v>
      </c>
    </row>
    <row r="247" spans="1:15">
      <c r="A247" s="10" t="s">
        <v>8</v>
      </c>
      <c r="B247" s="10" t="s">
        <v>137</v>
      </c>
    </row>
    <row r="248" spans="1:15">
      <c r="A248" s="10" t="s">
        <v>9</v>
      </c>
      <c r="B248" s="10" t="s">
        <v>162</v>
      </c>
    </row>
    <row r="249" spans="1:15">
      <c r="A249" t="s">
        <v>15</v>
      </c>
      <c r="B249" t="s">
        <v>16</v>
      </c>
    </row>
    <row r="250" spans="1:15">
      <c r="A250" t="s">
        <v>17</v>
      </c>
      <c r="B250">
        <v>1</v>
      </c>
    </row>
    <row r="251" spans="1:15">
      <c r="A251" t="s">
        <v>18</v>
      </c>
      <c r="B251" t="s">
        <v>19</v>
      </c>
    </row>
    <row r="252" spans="1:15">
      <c r="A252" t="s">
        <v>20</v>
      </c>
      <c r="B252" t="s">
        <v>48</v>
      </c>
    </row>
    <row r="253" spans="1:15">
      <c r="A253" t="s">
        <v>22</v>
      </c>
      <c r="B253" t="s">
        <v>138</v>
      </c>
    </row>
    <row r="254" spans="1:15">
      <c r="A254" t="s">
        <v>24</v>
      </c>
    </row>
    <row r="255" spans="1:15">
      <c r="A255" t="s">
        <v>9</v>
      </c>
      <c r="B255" t="s">
        <v>25</v>
      </c>
      <c r="C255" t="s">
        <v>17</v>
      </c>
      <c r="D255" t="s">
        <v>20</v>
      </c>
      <c r="E255" t="s">
        <v>26</v>
      </c>
      <c r="F255" t="s">
        <v>27</v>
      </c>
      <c r="G255" t="s">
        <v>15</v>
      </c>
      <c r="H255" t="s">
        <v>18</v>
      </c>
      <c r="I255" t="s">
        <v>22</v>
      </c>
      <c r="J255" t="s">
        <v>28</v>
      </c>
      <c r="K255" t="s">
        <v>29</v>
      </c>
      <c r="L255" t="s">
        <v>30</v>
      </c>
      <c r="M255" t="s">
        <v>31</v>
      </c>
      <c r="N255" t="s">
        <v>32</v>
      </c>
      <c r="O255" t="s">
        <v>33</v>
      </c>
    </row>
    <row r="256" spans="1:15">
      <c r="A256" t="s">
        <v>132</v>
      </c>
      <c r="B256" t="str">
        <f>B247</f>
        <v>BPA to water</v>
      </c>
      <c r="C256">
        <v>1</v>
      </c>
      <c r="D256" t="s">
        <v>48</v>
      </c>
      <c r="E256" t="s">
        <v>120</v>
      </c>
      <c r="F256" t="s">
        <v>34</v>
      </c>
      <c r="G256" t="s">
        <v>16</v>
      </c>
      <c r="H256" t="s">
        <v>35</v>
      </c>
      <c r="I256" t="str">
        <f>B253</f>
        <v>bpa to water</v>
      </c>
      <c r="J256">
        <v>0</v>
      </c>
      <c r="K256" t="s">
        <v>36</v>
      </c>
      <c r="L256" t="s">
        <v>36</v>
      </c>
      <c r="M256" t="s">
        <v>36</v>
      </c>
      <c r="N256" t="s">
        <v>36</v>
      </c>
      <c r="O256" t="s">
        <v>36</v>
      </c>
    </row>
    <row r="257" spans="2:8">
      <c r="B257" t="s">
        <v>134</v>
      </c>
      <c r="C257">
        <v>1</v>
      </c>
      <c r="D257" t="s">
        <v>48</v>
      </c>
      <c r="E257" t="s">
        <v>122</v>
      </c>
      <c r="F257" t="s">
        <v>133</v>
      </c>
      <c r="H257" t="s">
        <v>74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Matthias Martin Welker</cp:lastModifiedBy>
  <dcterms:created xsi:type="dcterms:W3CDTF">2025-11-12T08:25:47Z</dcterms:created>
  <dcterms:modified xsi:type="dcterms:W3CDTF">2025-11-13T20:05:07Z</dcterms:modified>
</cp:coreProperties>
</file>